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defaultThemeVersion="166925"/>
  <mc:AlternateContent xmlns:mc="http://schemas.openxmlformats.org/markup-compatibility/2006">
    <mc:Choice Requires="x15">
      <x15ac:absPath xmlns:x15ac="http://schemas.microsoft.com/office/spreadsheetml/2010/11/ac" url="\\wsl.localhost\Ubuntu\home\jovyan\netzero-metrics\"/>
    </mc:Choice>
  </mc:AlternateContent>
  <xr:revisionPtr revIDLastSave="0" documentId="13_ncr:1_{2763F62C-16A4-49CA-9095-0356018D5527}" xr6:coauthVersionLast="47" xr6:coauthVersionMax="47" xr10:uidLastSave="{00000000-0000-0000-0000-000000000000}"/>
  <bookViews>
    <workbookView minimized="1" xWindow="7200" yWindow="0" windowWidth="21600" windowHeight="12510" activeTab="2" xr2:uid="{35F33AAD-D87A-440E-A0E4-4112C4B1267F}"/>
  </bookViews>
  <sheets>
    <sheet name="Change log" sheetId="6" r:id="rId1"/>
    <sheet name="Webapp Fields and Notes" sheetId="3" r:id="rId2"/>
    <sheet name="MF UK NZC BS OE Tool" sheetId="8" r:id="rId3"/>
    <sheet name="Notes + Questions" sheetId="4" r:id="rId4"/>
    <sheet name="Metrics + Notes" sheetId="2" r:id="rId5"/>
    <sheet name="More Notes" sheetId="5"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41" i="3" l="1"/>
  <c r="D41" i="8"/>
  <c r="E41" i="8"/>
  <c r="D42" i="8"/>
  <c r="E42" i="8"/>
  <c r="D43" i="8"/>
  <c r="E43" i="8"/>
  <c r="D44" i="8"/>
  <c r="E44" i="8"/>
  <c r="D45" i="8"/>
  <c r="E45" i="8"/>
  <c r="D46" i="8"/>
  <c r="E46" i="8"/>
  <c r="D47" i="8"/>
  <c r="E47" i="8"/>
  <c r="D48" i="8"/>
  <c r="E48" i="8"/>
  <c r="E71" i="8"/>
  <c r="F71" i="8" s="1"/>
  <c r="L73" i="8"/>
  <c r="M73" i="8" s="1"/>
  <c r="D74" i="8"/>
  <c r="G74" i="8"/>
  <c r="H74" i="8"/>
  <c r="I74" i="8"/>
  <c r="D75" i="8"/>
  <c r="G75" i="8" s="1"/>
  <c r="E75" i="8"/>
  <c r="F75" i="8"/>
  <c r="AB75" i="8"/>
  <c r="AC75" i="8"/>
  <c r="AD75" i="8"/>
  <c r="AE75" i="8"/>
  <c r="AF75" i="8"/>
  <c r="AG75" i="8"/>
  <c r="AH75" i="8"/>
  <c r="AI75" i="8"/>
  <c r="AJ75" i="8"/>
  <c r="AK75" i="8"/>
  <c r="AL75" i="8"/>
  <c r="AM75" i="8"/>
  <c r="AN75" i="8"/>
  <c r="AO75" i="8"/>
  <c r="AP75" i="8"/>
  <c r="AQ75" i="8"/>
  <c r="AR75" i="8"/>
  <c r="AS75" i="8"/>
  <c r="AT75" i="8"/>
  <c r="AU75" i="8"/>
  <c r="AV75" i="8"/>
  <c r="AW75" i="8"/>
  <c r="AX75" i="8"/>
  <c r="AY75" i="8"/>
  <c r="AZ75" i="8"/>
  <c r="BA75" i="8"/>
  <c r="BB75" i="8"/>
  <c r="BC75" i="8"/>
  <c r="BD75" i="8"/>
  <c r="BE75" i="8"/>
  <c r="BF75" i="8"/>
  <c r="BG75" i="8"/>
  <c r="BH75" i="8"/>
  <c r="BI75" i="8"/>
  <c r="BJ75" i="8"/>
  <c r="BK75" i="8"/>
  <c r="BL75" i="8"/>
  <c r="BM75" i="8"/>
  <c r="BN75" i="8"/>
  <c r="BO75" i="8"/>
  <c r="BP75" i="8"/>
  <c r="BQ75" i="8"/>
  <c r="BR75" i="8"/>
  <c r="BS75" i="8"/>
  <c r="BT75" i="8"/>
  <c r="BU75" i="8"/>
  <c r="BV75" i="8"/>
  <c r="BW75" i="8"/>
  <c r="BX75" i="8"/>
  <c r="BY75" i="8"/>
  <c r="BZ75" i="8"/>
  <c r="CA75" i="8"/>
  <c r="CB75" i="8"/>
  <c r="CC75" i="8"/>
  <c r="CD75" i="8"/>
  <c r="CE75" i="8"/>
  <c r="CF75" i="8"/>
  <c r="CG75" i="8"/>
  <c r="CH75" i="8"/>
  <c r="CI75" i="8"/>
  <c r="CJ75" i="8"/>
  <c r="CK75" i="8"/>
  <c r="CL75" i="8"/>
  <c r="CM75" i="8"/>
  <c r="CN75" i="8"/>
  <c r="CO75" i="8"/>
  <c r="CP75" i="8"/>
  <c r="CQ75" i="8"/>
  <c r="CR75" i="8"/>
  <c r="CS75" i="8"/>
  <c r="CT75" i="8"/>
  <c r="CU75" i="8"/>
  <c r="CV75" i="8"/>
  <c r="AB76" i="8"/>
  <c r="AC76" i="8"/>
  <c r="AD76" i="8"/>
  <c r="AE76" i="8"/>
  <c r="AF76" i="8"/>
  <c r="AG76" i="8"/>
  <c r="AH76" i="8"/>
  <c r="AI76" i="8"/>
  <c r="AJ76" i="8"/>
  <c r="AK76" i="8"/>
  <c r="AL76" i="8"/>
  <c r="AM76" i="8"/>
  <c r="AN76" i="8"/>
  <c r="AO76" i="8"/>
  <c r="AP76" i="8"/>
  <c r="AQ76" i="8"/>
  <c r="AR76" i="8"/>
  <c r="AS76" i="8"/>
  <c r="AT76" i="8"/>
  <c r="AU76" i="8"/>
  <c r="AV76" i="8"/>
  <c r="AW76" i="8"/>
  <c r="AX76" i="8"/>
  <c r="AY76" i="8"/>
  <c r="AZ76" i="8"/>
  <c r="BA76" i="8"/>
  <c r="BB76" i="8"/>
  <c r="BC76" i="8"/>
  <c r="BD76" i="8"/>
  <c r="BE76" i="8"/>
  <c r="BF76" i="8"/>
  <c r="BG76" i="8"/>
  <c r="BH76" i="8"/>
  <c r="BI76" i="8"/>
  <c r="BJ76" i="8"/>
  <c r="BK76" i="8"/>
  <c r="BL76" i="8"/>
  <c r="BM76" i="8"/>
  <c r="BN76" i="8"/>
  <c r="BO76" i="8"/>
  <c r="BP76" i="8"/>
  <c r="BQ76" i="8"/>
  <c r="BR76" i="8"/>
  <c r="BS76" i="8"/>
  <c r="BT76" i="8"/>
  <c r="BU76" i="8"/>
  <c r="BV76" i="8"/>
  <c r="BW76" i="8"/>
  <c r="BX76" i="8"/>
  <c r="BY76" i="8"/>
  <c r="BZ76" i="8"/>
  <c r="CA76" i="8"/>
  <c r="CB76" i="8"/>
  <c r="CC76" i="8"/>
  <c r="CD76" i="8"/>
  <c r="CE76" i="8"/>
  <c r="CF76" i="8"/>
  <c r="CG76" i="8"/>
  <c r="CH76" i="8"/>
  <c r="CI76" i="8"/>
  <c r="CJ76" i="8"/>
  <c r="CK76" i="8"/>
  <c r="CL76" i="8"/>
  <c r="CM76" i="8"/>
  <c r="CN76" i="8"/>
  <c r="CO76" i="8"/>
  <c r="CP76" i="8"/>
  <c r="CQ76" i="8"/>
  <c r="CR76" i="8"/>
  <c r="CS76" i="8"/>
  <c r="CT76" i="8"/>
  <c r="CU76" i="8"/>
  <c r="CV76" i="8"/>
  <c r="D77" i="8"/>
  <c r="D78" i="8" s="1"/>
  <c r="E77" i="8"/>
  <c r="E78" i="8" s="1"/>
  <c r="F77" i="8"/>
  <c r="F78" i="8" s="1"/>
  <c r="G77" i="8"/>
  <c r="G78" i="8" s="1"/>
  <c r="H77" i="8"/>
  <c r="I77" i="8"/>
  <c r="I78" i="8" s="1"/>
  <c r="AB77" i="8"/>
  <c r="AC77" i="8"/>
  <c r="AD77" i="8"/>
  <c r="AE77" i="8"/>
  <c r="AF77" i="8"/>
  <c r="AG77" i="8"/>
  <c r="AH77" i="8"/>
  <c r="AI77" i="8"/>
  <c r="AJ77" i="8"/>
  <c r="AK77" i="8"/>
  <c r="AL77" i="8"/>
  <c r="AM77" i="8"/>
  <c r="AN77" i="8"/>
  <c r="AO77" i="8"/>
  <c r="AP77" i="8"/>
  <c r="AQ77" i="8"/>
  <c r="AR77" i="8"/>
  <c r="AS77" i="8"/>
  <c r="AT77" i="8"/>
  <c r="AU77" i="8"/>
  <c r="AV77" i="8"/>
  <c r="AW77" i="8"/>
  <c r="AX77" i="8"/>
  <c r="AY77" i="8"/>
  <c r="AZ77" i="8"/>
  <c r="BA77" i="8"/>
  <c r="BB77" i="8"/>
  <c r="BC77" i="8"/>
  <c r="BD77" i="8"/>
  <c r="BE77" i="8"/>
  <c r="BF77" i="8"/>
  <c r="BG77" i="8"/>
  <c r="BH77" i="8"/>
  <c r="BI77" i="8"/>
  <c r="BJ77" i="8"/>
  <c r="BK77" i="8"/>
  <c r="BL77" i="8"/>
  <c r="BM77" i="8"/>
  <c r="BN77" i="8"/>
  <c r="BO77" i="8"/>
  <c r="BP77" i="8"/>
  <c r="BQ77" i="8"/>
  <c r="BR77" i="8"/>
  <c r="BS77" i="8"/>
  <c r="BT77" i="8"/>
  <c r="BU77" i="8"/>
  <c r="BV77" i="8"/>
  <c r="BW77" i="8"/>
  <c r="BX77" i="8"/>
  <c r="BY77" i="8"/>
  <c r="BZ77" i="8"/>
  <c r="CA77" i="8"/>
  <c r="CB77" i="8"/>
  <c r="CC77" i="8"/>
  <c r="CD77" i="8"/>
  <c r="CE77" i="8"/>
  <c r="CF77" i="8"/>
  <c r="CG77" i="8"/>
  <c r="CH77" i="8"/>
  <c r="CI77" i="8"/>
  <c r="CJ77" i="8"/>
  <c r="CK77" i="8"/>
  <c r="CL77" i="8"/>
  <c r="CM77" i="8"/>
  <c r="CN77" i="8"/>
  <c r="CO77" i="8"/>
  <c r="CP77" i="8"/>
  <c r="CQ77" i="8"/>
  <c r="CR77" i="8"/>
  <c r="CS77" i="8"/>
  <c r="CT77" i="8"/>
  <c r="CU77" i="8"/>
  <c r="CV77" i="8"/>
  <c r="H78" i="8"/>
  <c r="AB78" i="8"/>
  <c r="AC78" i="8"/>
  <c r="AD78" i="8"/>
  <c r="AE78" i="8"/>
  <c r="AF78" i="8"/>
  <c r="AG78" i="8"/>
  <c r="AH78" i="8"/>
  <c r="AI78" i="8"/>
  <c r="AJ78" i="8"/>
  <c r="AK78" i="8"/>
  <c r="AL78" i="8"/>
  <c r="AM78" i="8"/>
  <c r="AN78" i="8"/>
  <c r="AO78" i="8"/>
  <c r="AP78" i="8"/>
  <c r="AQ78" i="8"/>
  <c r="AR78" i="8"/>
  <c r="AS78" i="8"/>
  <c r="AT78" i="8"/>
  <c r="AU78" i="8"/>
  <c r="AV78" i="8"/>
  <c r="AW78" i="8"/>
  <c r="AX78" i="8"/>
  <c r="AY78" i="8"/>
  <c r="AZ78" i="8"/>
  <c r="BA78" i="8"/>
  <c r="BB78" i="8"/>
  <c r="BC78" i="8"/>
  <c r="BD78" i="8"/>
  <c r="BE78" i="8"/>
  <c r="BF78" i="8"/>
  <c r="BG78" i="8"/>
  <c r="BH78" i="8"/>
  <c r="BI78" i="8"/>
  <c r="BJ78" i="8"/>
  <c r="BK78" i="8"/>
  <c r="BL78" i="8"/>
  <c r="BM78" i="8"/>
  <c r="BN78" i="8"/>
  <c r="BO78" i="8"/>
  <c r="BP78" i="8"/>
  <c r="BQ78" i="8"/>
  <c r="BR78" i="8"/>
  <c r="BS78" i="8"/>
  <c r="BT78" i="8"/>
  <c r="BU78" i="8"/>
  <c r="BV78" i="8"/>
  <c r="BW78" i="8"/>
  <c r="BX78" i="8"/>
  <c r="BY78" i="8"/>
  <c r="BZ78" i="8"/>
  <c r="CA78" i="8"/>
  <c r="CB78" i="8"/>
  <c r="CC78" i="8"/>
  <c r="CD78" i="8"/>
  <c r="CE78" i="8"/>
  <c r="CF78" i="8"/>
  <c r="CG78" i="8"/>
  <c r="CH78" i="8"/>
  <c r="CI78" i="8"/>
  <c r="CJ78" i="8"/>
  <c r="CK78" i="8"/>
  <c r="CL78" i="8"/>
  <c r="CM78" i="8"/>
  <c r="CN78" i="8"/>
  <c r="CO78" i="8"/>
  <c r="CP78" i="8"/>
  <c r="CQ78" i="8"/>
  <c r="CR78" i="8"/>
  <c r="CS78" i="8"/>
  <c r="CT78" i="8"/>
  <c r="CU78" i="8"/>
  <c r="CV78" i="8"/>
  <c r="D79" i="8"/>
  <c r="E79" i="8"/>
  <c r="F79" i="8"/>
  <c r="G79" i="8"/>
  <c r="H79" i="8"/>
  <c r="I79" i="8"/>
  <c r="AB79" i="8"/>
  <c r="AC79" i="8"/>
  <c r="AD79" i="8"/>
  <c r="AE79" i="8"/>
  <c r="AF79" i="8"/>
  <c r="AG79" i="8"/>
  <c r="AH79" i="8"/>
  <c r="AI79" i="8"/>
  <c r="AJ79" i="8"/>
  <c r="AK79" i="8"/>
  <c r="AL79" i="8"/>
  <c r="AM79" i="8"/>
  <c r="AN79" i="8"/>
  <c r="AO79" i="8"/>
  <c r="AP79" i="8"/>
  <c r="AQ79" i="8"/>
  <c r="AR79" i="8"/>
  <c r="AS79" i="8"/>
  <c r="AT79" i="8"/>
  <c r="AU79" i="8"/>
  <c r="AV79" i="8"/>
  <c r="AW79" i="8"/>
  <c r="AX79" i="8"/>
  <c r="AY79" i="8"/>
  <c r="AZ79" i="8"/>
  <c r="BA79" i="8"/>
  <c r="BB79" i="8"/>
  <c r="BC79" i="8"/>
  <c r="BD79" i="8"/>
  <c r="BE79" i="8"/>
  <c r="BF79" i="8"/>
  <c r="BG79" i="8"/>
  <c r="BH79" i="8"/>
  <c r="BI79" i="8"/>
  <c r="BJ79" i="8"/>
  <c r="BK79" i="8"/>
  <c r="BL79" i="8"/>
  <c r="BM79" i="8"/>
  <c r="BN79" i="8"/>
  <c r="BO79" i="8"/>
  <c r="BP79" i="8"/>
  <c r="BQ79" i="8"/>
  <c r="BR79" i="8"/>
  <c r="BS79" i="8"/>
  <c r="BT79" i="8"/>
  <c r="BU79" i="8"/>
  <c r="BV79" i="8"/>
  <c r="BW79" i="8"/>
  <c r="BX79" i="8"/>
  <c r="BY79" i="8"/>
  <c r="BZ79" i="8"/>
  <c r="CA79" i="8"/>
  <c r="CB79" i="8"/>
  <c r="CC79" i="8"/>
  <c r="CD79" i="8"/>
  <c r="CE79" i="8"/>
  <c r="CF79" i="8"/>
  <c r="CG79" i="8"/>
  <c r="CH79" i="8"/>
  <c r="CI79" i="8"/>
  <c r="CJ79" i="8"/>
  <c r="CK79" i="8"/>
  <c r="CL79" i="8"/>
  <c r="CM79" i="8"/>
  <c r="CN79" i="8"/>
  <c r="CO79" i="8"/>
  <c r="CP79" i="8"/>
  <c r="CQ79" i="8"/>
  <c r="CR79" i="8"/>
  <c r="CS79" i="8"/>
  <c r="CT79" i="8"/>
  <c r="CU79" i="8"/>
  <c r="CV79" i="8"/>
  <c r="G80" i="8"/>
  <c r="H80" i="8"/>
  <c r="I80" i="8"/>
  <c r="D81" i="8"/>
  <c r="G81" i="8"/>
  <c r="H81" i="8"/>
  <c r="I81" i="8"/>
  <c r="E84" i="8"/>
  <c r="F84" i="8" s="1"/>
  <c r="L86" i="8"/>
  <c r="M86" i="8" s="1"/>
  <c r="D87" i="8"/>
  <c r="D94" i="8" s="1"/>
  <c r="G87" i="8"/>
  <c r="H87" i="8"/>
  <c r="I87" i="8"/>
  <c r="D88" i="8"/>
  <c r="G88" i="8" s="1"/>
  <c r="E88" i="8"/>
  <c r="F88" i="8"/>
  <c r="D90" i="8"/>
  <c r="D91" i="8" s="1"/>
  <c r="E90" i="8"/>
  <c r="E91" i="8" s="1"/>
  <c r="F90" i="8"/>
  <c r="F91" i="8" s="1"/>
  <c r="G90" i="8"/>
  <c r="G91" i="8" s="1"/>
  <c r="H90" i="8"/>
  <c r="H91" i="8" s="1"/>
  <c r="I90" i="8"/>
  <c r="I91" i="8" s="1"/>
  <c r="D92" i="8"/>
  <c r="E92" i="8"/>
  <c r="F92" i="8"/>
  <c r="G92" i="8"/>
  <c r="H92" i="8"/>
  <c r="I92" i="8"/>
  <c r="G93" i="8"/>
  <c r="H93" i="8"/>
  <c r="I93" i="8"/>
  <c r="G94" i="8"/>
  <c r="H94" i="8"/>
  <c r="I94" i="8"/>
  <c r="E97" i="8"/>
  <c r="F97" i="8" s="1"/>
  <c r="G97" i="8" s="1"/>
  <c r="H97" i="8" s="1"/>
  <c r="I97" i="8" s="1"/>
  <c r="L97" i="8" s="1"/>
  <c r="L99" i="8"/>
  <c r="M99" i="8" s="1"/>
  <c r="D100" i="8"/>
  <c r="D107" i="8" s="1"/>
  <c r="F100" i="8"/>
  <c r="G100" i="8"/>
  <c r="H100" i="8"/>
  <c r="I100" i="8"/>
  <c r="D101" i="8"/>
  <c r="H101" i="8" s="1"/>
  <c r="E101" i="8"/>
  <c r="F101" i="8"/>
  <c r="I101" i="8"/>
  <c r="D103" i="8"/>
  <c r="D104" i="8" s="1"/>
  <c r="E103" i="8"/>
  <c r="E104" i="8" s="1"/>
  <c r="F103" i="8"/>
  <c r="F104" i="8" s="1"/>
  <c r="G103" i="8"/>
  <c r="H103" i="8"/>
  <c r="H104" i="8" s="1"/>
  <c r="I103" i="8"/>
  <c r="I104" i="8" s="1"/>
  <c r="G104" i="8"/>
  <c r="D105" i="8"/>
  <c r="E105" i="8"/>
  <c r="F105" i="8"/>
  <c r="G105" i="8"/>
  <c r="H105" i="8"/>
  <c r="I105" i="8"/>
  <c r="F106" i="8"/>
  <c r="G106" i="8"/>
  <c r="H106" i="8"/>
  <c r="I106" i="8"/>
  <c r="F107" i="8"/>
  <c r="G107" i="8"/>
  <c r="H107" i="8"/>
  <c r="I107" i="8"/>
  <c r="E110" i="8"/>
  <c r="F110" i="8" s="1"/>
  <c r="L112" i="8"/>
  <c r="M112" i="8" s="1"/>
  <c r="D113" i="8"/>
  <c r="D120" i="8" s="1"/>
  <c r="G113" i="8"/>
  <c r="H113" i="8"/>
  <c r="I113" i="8"/>
  <c r="D114" i="8"/>
  <c r="G114" i="8" s="1"/>
  <c r="E114" i="8"/>
  <c r="F114" i="8"/>
  <c r="D116" i="8"/>
  <c r="D117" i="8" s="1"/>
  <c r="E116" i="8"/>
  <c r="E117" i="8" s="1"/>
  <c r="F116" i="8"/>
  <c r="F117" i="8" s="1"/>
  <c r="G116" i="8"/>
  <c r="G117" i="8" s="1"/>
  <c r="H116" i="8"/>
  <c r="H117" i="8" s="1"/>
  <c r="I116" i="8"/>
  <c r="I117" i="8" s="1"/>
  <c r="D118" i="8"/>
  <c r="E118" i="8"/>
  <c r="F118" i="8"/>
  <c r="G118" i="8"/>
  <c r="H118" i="8"/>
  <c r="I118" i="8"/>
  <c r="G119" i="8"/>
  <c r="H119" i="8"/>
  <c r="I119" i="8"/>
  <c r="G120" i="8"/>
  <c r="H120" i="8"/>
  <c r="I120" i="8"/>
  <c r="E123" i="8"/>
  <c r="E126" i="8" s="1"/>
  <c r="E133" i="8" s="1"/>
  <c r="L125" i="8"/>
  <c r="M125" i="8" s="1"/>
  <c r="D126" i="8"/>
  <c r="D133" i="8" s="1"/>
  <c r="G126" i="8"/>
  <c r="H126" i="8"/>
  <c r="I126" i="8"/>
  <c r="D127" i="8"/>
  <c r="H127" i="8" s="1"/>
  <c r="E127" i="8"/>
  <c r="F127" i="8"/>
  <c r="D129" i="8"/>
  <c r="D130" i="8" s="1"/>
  <c r="D132" i="8" s="1"/>
  <c r="E129" i="8"/>
  <c r="E130" i="8" s="1"/>
  <c r="F129" i="8"/>
  <c r="F130" i="8" s="1"/>
  <c r="G129" i="8"/>
  <c r="G130" i="8" s="1"/>
  <c r="H129" i="8"/>
  <c r="I129" i="8"/>
  <c r="I130" i="8" s="1"/>
  <c r="H130" i="8"/>
  <c r="D131" i="8"/>
  <c r="E131" i="8"/>
  <c r="F131" i="8"/>
  <c r="G131" i="8"/>
  <c r="H131" i="8"/>
  <c r="I131" i="8"/>
  <c r="G132" i="8"/>
  <c r="H132" i="8"/>
  <c r="I132" i="8"/>
  <c r="G133" i="8"/>
  <c r="H133" i="8"/>
  <c r="I133" i="8"/>
  <c r="F80" i="8" l="1"/>
  <c r="D80" i="8"/>
  <c r="G101" i="8"/>
  <c r="E100" i="8"/>
  <c r="E107" i="8" s="1"/>
  <c r="L100" i="8" s="1"/>
  <c r="D57" i="8" s="1"/>
  <c r="F119" i="8"/>
  <c r="F93" i="8"/>
  <c r="H75" i="8"/>
  <c r="F132" i="8"/>
  <c r="D119" i="8"/>
  <c r="D106" i="8"/>
  <c r="E132" i="8"/>
  <c r="E93" i="8"/>
  <c r="CZ57" i="8"/>
  <c r="CX59" i="8"/>
  <c r="F123" i="8"/>
  <c r="G123" i="8" s="1"/>
  <c r="H123" i="8" s="1"/>
  <c r="I123" i="8" s="1"/>
  <c r="L123" i="8" s="1"/>
  <c r="B59" i="8" s="1"/>
  <c r="M101" i="8" a="1"/>
  <c r="M101" i="8" s="1"/>
  <c r="L101" i="8" s="1"/>
  <c r="E57" i="8" s="1"/>
  <c r="D93" i="8"/>
  <c r="L85" i="8" s="1"/>
  <c r="I75" i="8"/>
  <c r="M75" i="8" s="1" a="1"/>
  <c r="M75" i="8" s="1"/>
  <c r="L75" i="8" s="1"/>
  <c r="E55" i="8" s="1"/>
  <c r="CY58" i="8"/>
  <c r="E119" i="8"/>
  <c r="H88" i="8"/>
  <c r="E106" i="8"/>
  <c r="L98" i="8" s="1"/>
  <c r="DA60" i="8"/>
  <c r="DB63" i="8"/>
  <c r="E80" i="8"/>
  <c r="L72" i="8" s="1"/>
  <c r="CY73" i="8"/>
  <c r="CX72" i="8"/>
  <c r="G84" i="8"/>
  <c r="H84" i="8" s="1"/>
  <c r="I84" i="8" s="1"/>
  <c r="L84" i="8" s="1"/>
  <c r="F87" i="8"/>
  <c r="F94" i="8" s="1"/>
  <c r="L111" i="8"/>
  <c r="F113" i="8"/>
  <c r="F120" i="8" s="1"/>
  <c r="G110" i="8"/>
  <c r="H110" i="8" s="1"/>
  <c r="I110" i="8" s="1"/>
  <c r="L110" i="8" s="1"/>
  <c r="B58" i="8" s="1"/>
  <c r="G71" i="8"/>
  <c r="H71" i="8" s="1"/>
  <c r="I71" i="8" s="1"/>
  <c r="L71" i="8" s="1"/>
  <c r="B55" i="8" s="1"/>
  <c r="F74" i="8"/>
  <c r="F81" i="8" s="1"/>
  <c r="E113" i="8"/>
  <c r="E120" i="8" s="1"/>
  <c r="CX73" i="8"/>
  <c r="CX70" i="8"/>
  <c r="CZ68" i="8"/>
  <c r="DB66" i="8"/>
  <c r="CY65" i="8"/>
  <c r="DA63" i="8"/>
  <c r="CX62" i="8"/>
  <c r="CZ60" i="8"/>
  <c r="CX58" i="8"/>
  <c r="CY57" i="8"/>
  <c r="G127" i="8"/>
  <c r="M127" i="8" s="1" a="1"/>
  <c r="M127" i="8" s="1"/>
  <c r="L127" i="8" s="1"/>
  <c r="DB71" i="8"/>
  <c r="DB69" i="8"/>
  <c r="CY68" i="8"/>
  <c r="DA66" i="8"/>
  <c r="CX65" i="8"/>
  <c r="CZ63" i="8"/>
  <c r="DB61" i="8"/>
  <c r="CY60" i="8"/>
  <c r="CX57" i="8"/>
  <c r="E74" i="8"/>
  <c r="E81" i="8" s="1"/>
  <c r="DA71" i="8"/>
  <c r="DA69" i="8"/>
  <c r="CX68" i="8"/>
  <c r="CZ66" i="8"/>
  <c r="DB64" i="8"/>
  <c r="CY63" i="8"/>
  <c r="DA61" i="8"/>
  <c r="CX60" i="8"/>
  <c r="I88" i="8"/>
  <c r="M88" i="8" s="1" a="1"/>
  <c r="M88" i="8" s="1"/>
  <c r="L88" i="8" s="1"/>
  <c r="DB72" i="8"/>
  <c r="CZ71" i="8"/>
  <c r="CZ69" i="8"/>
  <c r="DB67" i="8"/>
  <c r="CY66" i="8"/>
  <c r="DA64" i="8"/>
  <c r="CX63" i="8"/>
  <c r="CZ61" i="8"/>
  <c r="DB59" i="8"/>
  <c r="DB73" i="8"/>
  <c r="DA72" i="8"/>
  <c r="CY71" i="8"/>
  <c r="DB70" i="8"/>
  <c r="CY69" i="8"/>
  <c r="DA67" i="8"/>
  <c r="CX66" i="8"/>
  <c r="CZ64" i="8"/>
  <c r="DB62" i="8"/>
  <c r="CY61" i="8"/>
  <c r="DA59" i="8"/>
  <c r="DB58" i="8"/>
  <c r="I114" i="8"/>
  <c r="DA73" i="8"/>
  <c r="CZ72" i="8"/>
  <c r="CX71" i="8"/>
  <c r="DA70" i="8"/>
  <c r="CX69" i="8"/>
  <c r="CZ67" i="8"/>
  <c r="DB65" i="8"/>
  <c r="CY64" i="8"/>
  <c r="DA62" i="8"/>
  <c r="CX61" i="8"/>
  <c r="CZ59" i="8"/>
  <c r="DA58" i="8"/>
  <c r="DB57" i="8"/>
  <c r="I127" i="8"/>
  <c r="H114" i="8"/>
  <c r="E87" i="8"/>
  <c r="E94" i="8" s="1"/>
  <c r="CZ73" i="8"/>
  <c r="CY72" i="8"/>
  <c r="CZ70" i="8"/>
  <c r="DB68" i="8"/>
  <c r="CY67" i="8"/>
  <c r="DA65" i="8"/>
  <c r="CX64" i="8"/>
  <c r="CZ62" i="8"/>
  <c r="DB60" i="8"/>
  <c r="CY59" i="8"/>
  <c r="CZ58" i="8"/>
  <c r="DA57" i="8"/>
  <c r="CY70" i="8"/>
  <c r="DA68" i="8"/>
  <c r="CX67" i="8"/>
  <c r="CZ65" i="8"/>
  <c r="CY62" i="8"/>
  <c r="O39" i="3"/>
  <c r="E40" i="3"/>
  <c r="E41" i="3" s="1"/>
  <c r="E42" i="3" s="1"/>
  <c r="E43" i="3" s="1"/>
  <c r="E44" i="3" s="1"/>
  <c r="D40" i="3"/>
  <c r="D41" i="3" s="1"/>
  <c r="D42" i="3" s="1"/>
  <c r="D43" i="3" s="1"/>
  <c r="D44" i="3" s="1"/>
  <c r="B40" i="3"/>
  <c r="B41" i="3" s="1"/>
  <c r="B42" i="3" s="1"/>
  <c r="B43" i="3" s="1"/>
  <c r="B44" i="3" s="1"/>
  <c r="A40" i="3"/>
  <c r="A41" i="3" s="1"/>
  <c r="A42" i="3" s="1"/>
  <c r="A43" i="3" s="1"/>
  <c r="A44" i="3" s="1"/>
  <c r="C40" i="3"/>
  <c r="C41" i="3" s="1"/>
  <c r="C42" i="3" s="1"/>
  <c r="C43" i="3" s="1"/>
  <c r="C44" i="3" s="1"/>
  <c r="G92" i="5"/>
  <c r="G91" i="5"/>
  <c r="F91" i="5"/>
  <c r="E91" i="5"/>
  <c r="D91" i="5"/>
  <c r="F92" i="5"/>
  <c r="E92" i="5"/>
  <c r="D92" i="5"/>
  <c r="B69" i="5"/>
  <c r="B68" i="5"/>
  <c r="B67" i="5"/>
  <c r="F126" i="8" l="1"/>
  <c r="F133" i="8" s="1"/>
  <c r="L126" i="8" s="1"/>
  <c r="D59" i="8" s="1"/>
  <c r="L124" i="8"/>
  <c r="DB54" i="8" s="1"/>
  <c r="C59" i="8"/>
  <c r="L87" i="8"/>
  <c r="D56" i="8" s="1"/>
  <c r="CX54" i="8"/>
  <c r="C55" i="8"/>
  <c r="C57" i="8"/>
  <c r="CZ54" i="8"/>
  <c r="M114" i="8" a="1"/>
  <c r="M114" i="8" s="1"/>
  <c r="L114" i="8" s="1"/>
  <c r="DA56" i="8" s="1"/>
  <c r="L74" i="8"/>
  <c r="D55" i="8" s="1"/>
  <c r="CX56" i="8"/>
  <c r="CZ56" i="8"/>
  <c r="L113" i="8"/>
  <c r="D58" i="8" s="1"/>
  <c r="E56" i="8"/>
  <c r="CY56" i="8"/>
  <c r="CY54" i="8"/>
  <c r="C56" i="8"/>
  <c r="DA54" i="8"/>
  <c r="C58" i="8"/>
  <c r="DB56" i="8"/>
  <c r="E59" i="8"/>
  <c r="B56" i="8"/>
  <c r="B57" i="8"/>
  <c r="O48" i="3"/>
  <c r="B49" i="3"/>
  <c r="B50" i="3" s="1"/>
  <c r="B51" i="3" s="1"/>
  <c r="D49" i="3"/>
  <c r="D50" i="3" s="1"/>
  <c r="D51" i="3" s="1"/>
  <c r="C49" i="3"/>
  <c r="C50" i="3" s="1"/>
  <c r="C51" i="3" s="1"/>
  <c r="E49" i="3"/>
  <c r="E50" i="3" s="1"/>
  <c r="E51" i="3" s="1"/>
  <c r="O40" i="3"/>
  <c r="E58" i="8" l="1"/>
  <c r="A49" i="3"/>
  <c r="A50" i="3" s="1"/>
  <c r="A51" i="3" s="1"/>
  <c r="O51" i="3" s="1"/>
  <c r="O42" i="3"/>
  <c r="O50" i="3" l="1"/>
  <c r="O49" i="3"/>
  <c r="O44" i="3"/>
  <c r="O4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Hareth Pochee</author>
  </authors>
  <commentList>
    <comment ref="K41" authorId="0" shapeId="0" xr:uid="{E758DB2E-FEDB-498B-B41D-033A5E2F9DB7}">
      <text>
        <r>
          <rPr>
            <b/>
            <sz val="9"/>
            <color indexed="81"/>
            <rFont val="Tahoma"/>
            <family val="2"/>
          </rPr>
          <t>Hareth Pochee:</t>
        </r>
        <r>
          <rPr>
            <sz val="9"/>
            <color indexed="81"/>
            <rFont val="Tahoma"/>
            <family val="2"/>
          </rPr>
          <t xml:space="preserve">
This cell is set up with a multi selection list, with the user defined types added in the Data Lists tab</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<sst xmlns="http://schemas.openxmlformats.org/spreadsheetml/2006/main" count="954" uniqueCount="568">
  <si>
    <t>Job Name</t>
  </si>
  <si>
    <t>Refurb</t>
  </si>
  <si>
    <t>Project Lead</t>
  </si>
  <si>
    <t>Region</t>
  </si>
  <si>
    <t>New Build</t>
  </si>
  <si>
    <t>Building Type</t>
  </si>
  <si>
    <t>Sector</t>
  </si>
  <si>
    <t>Status</t>
  </si>
  <si>
    <t>Director</t>
  </si>
  <si>
    <t>Architect</t>
  </si>
  <si>
    <t>Client</t>
  </si>
  <si>
    <t>Structural Eng</t>
  </si>
  <si>
    <t>QS</t>
  </si>
  <si>
    <t>Project Manager</t>
  </si>
  <si>
    <t>Services</t>
  </si>
  <si>
    <t>Stage Check</t>
  </si>
  <si>
    <t>No.</t>
  </si>
  <si>
    <t>NZC &amp; Biodiversity Metric</t>
  </si>
  <si>
    <t>Theme</t>
  </si>
  <si>
    <t>Priority</t>
  </si>
  <si>
    <t>Concept Stage Check</t>
  </si>
  <si>
    <t>Stage 4 Check</t>
  </si>
  <si>
    <t>In-Use</t>
  </si>
  <si>
    <t>Challenges / Requirements</t>
  </si>
  <si>
    <t>Status and Notes</t>
  </si>
  <si>
    <t>No fossil fuels</t>
  </si>
  <si>
    <t>NZC</t>
  </si>
  <si>
    <t>Design Review</t>
  </si>
  <si>
    <t>Mech Design Review</t>
  </si>
  <si>
    <t>End of Defects Data collection follow-up</t>
  </si>
  <si>
    <t>Year 1 data collated through NZC Champions</t>
  </si>
  <si>
    <t>2a</t>
  </si>
  <si>
    <t>NZC compatible energy target + operational model existence</t>
  </si>
  <si>
    <t>Embodied carbon target and model existence</t>
  </si>
  <si>
    <t>Design review data preparation form</t>
  </si>
  <si>
    <t>n/a</t>
  </si>
  <si>
    <t>How to capture any final in-use data?</t>
  </si>
  <si>
    <t>WLC MEP Optioneering / Quantification taken place</t>
  </si>
  <si>
    <r>
      <t xml:space="preserve">Post-construction assessment data </t>
    </r>
    <r>
      <rPr>
        <b/>
        <sz val="11"/>
        <color theme="1"/>
        <rFont val="Calibri"/>
        <family val="2"/>
        <scheme val="minor"/>
      </rPr>
      <t xml:space="preserve">if </t>
    </r>
    <r>
      <rPr>
        <sz val="11"/>
        <color theme="1"/>
        <rFont val="Calibri"/>
        <family val="2"/>
        <scheme val="minor"/>
      </rPr>
      <t>available</t>
    </r>
  </si>
  <si>
    <t>Produce A checklist with
1. Material selection? / Mass considerations
2. Lean distribution
3. Refrigerant selection</t>
  </si>
  <si>
    <t>2c</t>
  </si>
  <si>
    <r>
      <t>Building peak heat demand – 20W/m</t>
    </r>
    <r>
      <rPr>
        <b/>
        <vertAlign val="superscript"/>
        <sz val="11"/>
        <color rgb="FF7F7F7F"/>
        <rFont val="Calibri"/>
        <family val="2"/>
        <scheme val="minor"/>
      </rPr>
      <t>2</t>
    </r>
    <r>
      <rPr>
        <b/>
        <sz val="11"/>
        <color rgb="FF7F7F7F"/>
        <rFont val="Calibri"/>
        <family val="2"/>
        <scheme val="minor"/>
      </rPr>
      <t xml:space="preserve"> space heating demand (or other suitable metric).</t>
    </r>
  </si>
  <si>
    <t>?</t>
  </si>
  <si>
    <t>Design Review Part L Model
Metering review</t>
  </si>
  <si>
    <t>Peak electric load from utility / BMS or sub-metered data</t>
  </si>
  <si>
    <t>Tom  compare to models, other projects, and targets.
Can only work out if electrical submeter. Have this data could do this anlalysis on PH vs non-passivhaus.</t>
  </si>
  <si>
    <t>2e</t>
  </si>
  <si>
    <t>Proportion of renewable energy target on site (output, potential output)</t>
  </si>
  <si>
    <t>Qualitative</t>
  </si>
  <si>
    <t>Mech Design Review Part L Model for heat pumps and electrical for PVs.
Review metering - can data be extracted?</t>
  </si>
  <si>
    <t>Qualitative - "Is system working as expected?", SCOP check in BMS?</t>
  </si>
  <si>
    <t>1. Requires sub-metered data
2. SCOP of Heat Pumps
How Will we quantify the performance? Align to MCS requirements.
Unlikely to have that data avilable on most projects</t>
  </si>
  <si>
    <t>Potable water target set</t>
  </si>
  <si>
    <t>Biodiversity</t>
  </si>
  <si>
    <t>Could easily be added in. Often picked up by BMS, done reasonably well</t>
  </si>
  <si>
    <t>Reuse of materials by mass (including MEP)</t>
  </si>
  <si>
    <t>Specialist calculation requirements that wouldn't otherwise be being produced</t>
  </si>
  <si>
    <t>Biodiversity net gain / Urban Greening Factor (UGF)</t>
  </si>
  <si>
    <t>? (Sustainability Team?)]</t>
  </si>
  <si>
    <t>J:\J6767\46 NZCB Projects Metrics\NZCB Projects Metric Development_20240213.xlsx</t>
  </si>
  <si>
    <t>Embodied Carbon</t>
  </si>
  <si>
    <t>Further Notes as of August 2024</t>
  </si>
  <si>
    <t>HP : I'd suggest 12 months after occupation, rather then end of defects</t>
  </si>
  <si>
    <t xml:space="preserve">HP : Need to consider DHW (and any other heat uses, e.g. pool). 
In many cases it won’t be possible to measure the actual  demand of the space heating only. 
In many cases (e.g. resi) DHW peak demand probably more significant.   I'm not aware of established metrics for peak DHW demand. There may be some. Or maybe we make up our own. </t>
  </si>
  <si>
    <t xml:space="preserve">HP : I don't consider heat pumps as "renewable energy".
Perhaps we rename this one Renewable Electricity Supply? 
Do we want to measure heat pump SCOP?  Always nice ot have info but do we really want and need it for every project? I suggest not, and we look to measure SCOP on a set of sample projects, rather then all. 
Propose change this to renewbale energy (or electrcity ) generation provision (e.g. PV, wind, hydro, methane generation from anerobic digestion) (not Biomass burning) . relative to building footrpint - see NZC BS definition </t>
  </si>
  <si>
    <t xml:space="preserve">HP : 2 separate points a) UGF, b) BNG. </t>
  </si>
  <si>
    <t xml:space="preserve">HP : what units?   For resi, there's an establishd metric of l/p/day, but how does one decide on how many people ? </t>
  </si>
  <si>
    <t>Key questions</t>
  </si>
  <si>
    <t xml:space="preserve">HP : I'd suggest 12 months after occupation, rather then end of defects. </t>
  </si>
  <si>
    <t>GENERAL</t>
  </si>
  <si>
    <t xml:space="preserve">HP : what do we want to do about projects where we're not leading on particular (or potentially all) aspects?
For example, we may be appoined for lighting design only. Do we want to still want to try to pursue all metrics. And if, so presumably we want to record that a) we're not appointed for aspects x, y, z, abd record if another consultant is. Is this making things too complex? </t>
  </si>
  <si>
    <t>HP : As built model? 
Quite likely  that the as-built is different to the Stage 4. 
We might not have the fee to do it, so we don’t, in which case we just record that .
Compare to benchmarks - emerging from UKNZC BS</t>
  </si>
  <si>
    <t>Discuss</t>
  </si>
  <si>
    <t xml:space="preserve">HP: a better (or complementary )  metric would be Mass new of material avoided (a+b). Where a) = for the proposed building and b) = for other projects. 
Or are there an established industry CE metrics ? UKGBC paper suggests,not, suggests they are under develoment. 
Use something form the Oneclcik outputs
Or qualitative approach 
</t>
  </si>
  <si>
    <t xml:space="preserve">The original version, the source file for this version was at: </t>
  </si>
  <si>
    <t>HP Comments V2</t>
  </si>
  <si>
    <t>05.08.2024</t>
  </si>
  <si>
    <t xml:space="preserve">This version : </t>
  </si>
  <si>
    <t xml:space="preserve">Metrics to Support NZC &amp; Biodiversity Positive Projects </t>
  </si>
  <si>
    <t>Type of input</t>
  </si>
  <si>
    <t>Work in progress notes</t>
  </si>
  <si>
    <t>HP</t>
  </si>
  <si>
    <t>Green cell</t>
  </si>
  <si>
    <t>Orange cell</t>
  </si>
  <si>
    <t>Current RIBA Stage</t>
  </si>
  <si>
    <t>Assume this means MF services provided. Currently  this is expressed as a series of tick boxes. i.e. this is actually many fields</t>
  </si>
  <si>
    <t>information that is understood to already already exist in the MF database</t>
  </si>
  <si>
    <t>Construction Value (£)</t>
  </si>
  <si>
    <t>Job Number</t>
  </si>
  <si>
    <t>Integer</t>
  </si>
  <si>
    <t>FOSSIL FUELS DURING OPERATION</t>
  </si>
  <si>
    <t>OPERATIONAL ENERGY</t>
  </si>
  <si>
    <t>General Project Information</t>
  </si>
  <si>
    <t>Sustainability Metrics</t>
  </si>
  <si>
    <t>proposed new item</t>
  </si>
  <si>
    <r>
      <t>Floor area, GIA (m</t>
    </r>
    <r>
      <rPr>
        <sz val="11"/>
        <color theme="1"/>
        <rFont val="Calibri"/>
        <family val="2"/>
      </rPr>
      <t>²</t>
    </r>
    <r>
      <rPr>
        <sz val="11"/>
        <color theme="1"/>
        <rFont val="Calibri"/>
        <family val="2"/>
        <scheme val="minor"/>
      </rPr>
      <t>)</t>
    </r>
  </si>
  <si>
    <r>
      <t>Floor area, NIA (m</t>
    </r>
    <r>
      <rPr>
        <sz val="11"/>
        <color theme="1"/>
        <rFont val="Calibri"/>
        <family val="2"/>
      </rPr>
      <t>²</t>
    </r>
    <r>
      <rPr>
        <sz val="11"/>
        <color theme="1"/>
        <rFont val="Calibri"/>
        <family val="2"/>
        <scheme val="minor"/>
      </rPr>
      <t>)</t>
    </r>
  </si>
  <si>
    <t>Are fossil fuels used in the project?</t>
  </si>
  <si>
    <t>Operational energy target value units</t>
  </si>
  <si>
    <t xml:space="preserve">What do we do about Biomass? Ignore for the time being. </t>
  </si>
  <si>
    <t xml:space="preserve">Have changed the options from the previous version. Is this a problem? </t>
  </si>
  <si>
    <t xml:space="preserve">For projects not using the RIBA plan of works, select the RIBA stage that best approximates the actual situation. </t>
  </si>
  <si>
    <t xml:space="preserve">Guidance notes for the user (to appear as mouse over windows, click to open window or similar) </t>
  </si>
  <si>
    <t>Multi selection list (New, Existing)</t>
  </si>
  <si>
    <t>Select all relevant options.  
Are the fossil fuels used for a proposed new system, or is an existing system being retained or both?</t>
  </si>
  <si>
    <t>Single selection list (Yes, No)</t>
  </si>
  <si>
    <t>Have replaced update date, with RIBA Stage</t>
  </si>
  <si>
    <t>Early Design Stage</t>
  </si>
  <si>
    <t>Does the project have operational energy target(s)?</t>
  </si>
  <si>
    <t>GENERAL INFORMATION</t>
  </si>
  <si>
    <t>Optional. Only required if NIA is being used by one or more metrics. 
Obtain reasonable estimate of the proposed or actual floor area. 
Use the definitions of GIA or NIA in RICS Code of Measurement Practice (6th edition). 
Most building types NZC metrics are  based on Gross internal Area (GIA) but some use Net Internal Area (NIA), which is the same as Net Lettable Area (NLA).
If have time to do so, the best option is to underake our own measurements.
The architect or QS may be able to provide area measurements. If using these, check they are using the RICS definitions for inclusions and exclusions. 
Might be possible to use model data (such as IES or PHPP) with or without conversion factors.</t>
  </si>
  <si>
    <t xml:space="preserve">This is currently a tick box. Note: a project could contain both new build and refurb. </t>
  </si>
  <si>
    <t xml:space="preserve">This is the estimated RIBA Stage at the time the user views the report.  
It is currently presented as project programme information within webapp. 
Is this defined by Fee Manager inputs? </t>
  </si>
  <si>
    <t>Single selection list (1,2,3)</t>
  </si>
  <si>
    <t>Description</t>
  </si>
  <si>
    <t>Text box</t>
  </si>
  <si>
    <t xml:space="preserve">Recommedned to be completed 50% of the way through RIBA Stage 2. 
But could be earlier or later, including during Stage 3. </t>
  </si>
  <si>
    <t>Provide a name for the relevent part of the project. For example, "SE Quadrant", "Building A", "Residential", "Nursery", "Office", etc
Or one can use "Whole Building" if there is only one building being considered within the project. 
"Whole Building" or "Whole Site" could be used for mixed use development in conjunction with overall data associated with the project mix of building types. For example area weighted avearge operational energy targets, area weighted peak heat demand, etc.</t>
  </si>
  <si>
    <t>Operational energy target</t>
  </si>
  <si>
    <t xml:space="preserve">Obtain reasonable estimate of the proposed or actual floor area. 
Use the definitions of GIA or NIA in RICS Code of Measurement Practice (6th edition). 
Most building types NZC metrics are  based on Gross internal Area (GIA) but some use Net Internal Area (NIA), which is the same as Net Lettable Area (NLA).  
If have time to do so, the best option is to underake our own measurements of GIA.
The architect or QS may be able to provide area measurements. If using these, check they are using the RICS definitions for inclusions and exclusions. Can also use NIA or TFA with conversion fators.
Might be possible to use model data (such as IES or PHPP) with or without conversion factors. </t>
  </si>
  <si>
    <t xml:space="preserve">Is the operational energy target considered NZC compatible? </t>
  </si>
  <si>
    <t>Most NZC related operational enegry targets are based on GIA using kWh/m² GIA/yr. However, some use NIA. Other options might be to use NABERS stars or PHPP PER (kWh PER /m² TFA/yr)</t>
  </si>
  <si>
    <t>Number</t>
  </si>
  <si>
    <t>Type(s) of operational energy model being used</t>
  </si>
  <si>
    <t>Do we wnt to use the tool only for a) looking back at what was done, or b) as a tool to monitor and influence live projects?
It would be good if we could use it for a) and b). 
If want to pursue b), this affects some of the set up. Mainly, the request/advice on when to a project is reviewed and the data input. 
e.g. at the end of early design stage works for a), but not for b). 
Lauma's comments such as "CLEAR GUIDANCE" on how to model operational energy, suggest it's a) and b)</t>
  </si>
  <si>
    <t>I spoke with JG on the apporahc. He edvise, wherever possible, get the data from predefined options (e.g. dropdown list) it helps a lot with analysis</t>
  </si>
  <si>
    <t>Estimated (modelled) energy consumption units</t>
  </si>
  <si>
    <t>Estimated (modelled) energy consumption</t>
  </si>
  <si>
    <t>Want this to the right of the number in the UI
Prefernce os for GIA based</t>
  </si>
  <si>
    <t>TM54 or similar using PHPP</t>
  </si>
  <si>
    <t>BRUKL+Custom Spreadsheet</t>
  </si>
  <si>
    <t>SAP+Custom Spreadsheet</t>
  </si>
  <si>
    <t>TM54 or similar using DSM</t>
  </si>
  <si>
    <t>UserDef1</t>
  </si>
  <si>
    <t>UserDef2</t>
  </si>
  <si>
    <t>Custom Speadsheet</t>
  </si>
  <si>
    <t>UserDef3</t>
  </si>
  <si>
    <t xml:space="preserve">DSM = "Dynamic simulation modelling, for example IES, Energy+   (Also know as DTM, dynamic thermal simulation)
PHPP = "Passivhaus Planning Package spreadsheet"
"TM54 or similar"  describes a general approach where one sets up a custom model not using building regs or similar predefined templates. All PHPP projects customised to also report EUI would be of this type. 
Whilst not being the prefered approach, it is possible to 
</t>
  </si>
  <si>
    <t>DSM Detailed HVAC</t>
  </si>
  <si>
    <t>NABERS</t>
  </si>
  <si>
    <t>EMBODIED CARBON</t>
  </si>
  <si>
    <r>
      <t>Multi selection list including option for 1  user defined (kgCO2e/m</t>
    </r>
    <r>
      <rPr>
        <sz val="11"/>
        <color theme="1"/>
        <rFont val="Calibri"/>
        <family val="2"/>
      </rPr>
      <t xml:space="preserve">² GIA, A1-A5, kgCO2e/m² GIA, A0-A5, kgCO2e/m² GIA, A1-A3, UserDef1) </t>
    </r>
  </si>
  <si>
    <t>NZC operational energy target datasource(s)</t>
  </si>
  <si>
    <r>
      <t xml:space="preserve">Does the project have </t>
    </r>
    <r>
      <rPr>
        <b/>
        <sz val="11"/>
        <color theme="1"/>
        <rFont val="Calibri"/>
        <family val="2"/>
        <scheme val="minor"/>
      </rPr>
      <t>upfront</t>
    </r>
    <r>
      <rPr>
        <sz val="11"/>
        <color theme="1"/>
        <rFont val="Calibri"/>
        <family val="2"/>
        <scheme val="minor"/>
      </rPr>
      <t xml:space="preserve"> embodied carbon target(s)</t>
    </r>
  </si>
  <si>
    <t xml:space="preserve">Could be A1-A5, A0-A5 or A1-A3. 
Many projects will have A1-A5 based values. The new RICS standard requires A0-A5. A1-A3 isn’t ideal, but better than nothing. </t>
  </si>
  <si>
    <r>
      <rPr>
        <b/>
        <sz val="11"/>
        <color theme="1"/>
        <rFont val="Calibri"/>
        <family val="2"/>
        <scheme val="minor"/>
      </rPr>
      <t>Upfront</t>
    </r>
    <r>
      <rPr>
        <sz val="11"/>
        <color theme="1"/>
        <rFont val="Calibri"/>
        <family val="2"/>
        <scheme val="minor"/>
      </rPr>
      <t xml:space="preserve"> embodied carbon target value</t>
    </r>
  </si>
  <si>
    <r>
      <rPr>
        <b/>
        <sz val="11"/>
        <color theme="1"/>
        <rFont val="Calibri"/>
        <family val="2"/>
        <scheme val="minor"/>
      </rPr>
      <t>Upfront</t>
    </r>
    <r>
      <rPr>
        <sz val="11"/>
        <color theme="1"/>
        <rFont val="Calibri"/>
        <family val="2"/>
        <scheme val="minor"/>
      </rPr>
      <t xml:space="preserve"> embodied carbon target value unit</t>
    </r>
  </si>
  <si>
    <r>
      <t xml:space="preserve">Is the </t>
    </r>
    <r>
      <rPr>
        <b/>
        <sz val="11"/>
        <color theme="1"/>
        <rFont val="Calibri"/>
        <family val="2"/>
        <scheme val="minor"/>
      </rPr>
      <t xml:space="preserve">upfront </t>
    </r>
    <r>
      <rPr>
        <sz val="11"/>
        <color theme="1"/>
        <rFont val="Calibri"/>
        <family val="2"/>
        <scheme val="minor"/>
      </rPr>
      <t>embodied carbon target consdidered NZC compatible</t>
    </r>
  </si>
  <si>
    <r>
      <t xml:space="preserve">NZC </t>
    </r>
    <r>
      <rPr>
        <b/>
        <sz val="11"/>
        <color theme="1"/>
        <rFont val="Calibri"/>
        <family val="2"/>
        <scheme val="minor"/>
      </rPr>
      <t>upfront</t>
    </r>
    <r>
      <rPr>
        <sz val="11"/>
        <color theme="1"/>
        <rFont val="Calibri"/>
        <family val="2"/>
        <scheme val="minor"/>
      </rPr>
      <t xml:space="preserve"> embodied carbon target datasource(s)</t>
    </r>
  </si>
  <si>
    <t xml:space="preserve">There may be projects where others (not Max Fordham) are carrying out the work relvent to the data being requested. For example a different consutnant might be carrying out operational energy modelling or setting project embodied carbon targets. If this is the case, attempt to record the relevent data and use the "work leaders" option boxes to note who is leading on each aspect. </t>
  </si>
  <si>
    <t>Certifications or similar being targeted</t>
  </si>
  <si>
    <t xml:space="preserve">This might be as simple as having a single utility meter. However, on project's that form part of a wider development this may require a more involved approach to be able to meter just the part of the project that is relevant. </t>
  </si>
  <si>
    <t>Are there provisions in the design so that it is simple for MF or relevant others to retrieve the energy meter data?</t>
  </si>
  <si>
    <t xml:space="preserve">Example strategies might include strategies such as: 
a) have a meter logging sytem that MF can access on site 
b) having remote access to logged meter data 
c) including whole block meters on blocks of flats, commercial units (or similar) so that the total consumption can be known without needing to contact individual tenants
d) designing meter position to be in locations that don't require tenant acces permission to be read </t>
  </si>
  <si>
    <t>Multi selection list including option for 2  user defined (Passivhaus, Enerphit, UserDef1, UserDef2)</t>
  </si>
  <si>
    <t>Seems like setting up the present options to aligen with UKNZC BS (e.g. building types) might be a good idea</t>
  </si>
  <si>
    <t xml:space="preserve">Do we want to record things like has a NZC stage 2 workshop been delivered? </t>
  </si>
  <si>
    <t xml:space="preserve">GLA or similar targets for OE and EC. How do we want to approahc this? </t>
  </si>
  <si>
    <t>List of EC targets datsources</t>
  </si>
  <si>
    <t>LETI RIBA Target alignment</t>
  </si>
  <si>
    <t>https://www.leti.uk/_files/ugd/252d09_25fc266f7fe44a24b55cce95a92a3878.pdf</t>
  </si>
  <si>
    <t>LETI CEDG</t>
  </si>
  <si>
    <t>RIBA CCV1</t>
  </si>
  <si>
    <t>RIBA CCV2</t>
  </si>
  <si>
    <t>GLA WLC</t>
  </si>
  <si>
    <t>https://www.london.gov.uk/sites/default/files/lpg_-_wlca_guidance.pdf</t>
  </si>
  <si>
    <t>UKNZC BS</t>
  </si>
  <si>
    <t>WCC RF</t>
  </si>
  <si>
    <t>https://www.westminster.gov.uk/media/document/retrofit-first-topic-paper</t>
  </si>
  <si>
    <t>Multi selection list including option for 3  user defined (UK NZC BS, MF OET, UKGBC NZO, UKGBC NZ ROB, RIBA CCV1, RIBA CCV2, LETI CEDG, LETI CERG, SDF RAS, NHS NZ BS, SBT, UserDef1, UserDef2, UserDef3)</t>
  </si>
  <si>
    <t>Multi selection list including option for 3  user defined (UK NZC BS, LETI/RIBA TA , LETI CEDG, RIBA CCV1, RIBA CCV2,  GLA WLC, WCC RF,UserDef1, GLA WLC, WCC RF, SBT UserDef2, UserDef3)</t>
  </si>
  <si>
    <r>
      <t xml:space="preserve">Is </t>
    </r>
    <r>
      <rPr>
        <b/>
        <sz val="11"/>
        <rFont val="Calibri"/>
        <family val="2"/>
        <scheme val="minor"/>
      </rPr>
      <t>upfront</t>
    </r>
    <r>
      <rPr>
        <sz val="11"/>
        <rFont val="Calibri"/>
        <family val="2"/>
        <scheme val="minor"/>
      </rPr>
      <t xml:space="preserve"> embodied carbon being modelled?</t>
    </r>
  </si>
  <si>
    <r>
      <rPr>
        <b/>
        <sz val="11"/>
        <rFont val="Calibri"/>
        <family val="2"/>
        <scheme val="minor"/>
      </rPr>
      <t>Upfront</t>
    </r>
    <r>
      <rPr>
        <sz val="11"/>
        <rFont val="Calibri"/>
        <family val="2"/>
        <scheme val="minor"/>
      </rPr>
      <t xml:space="preserve"> embodied cabon modelled predicted value</t>
    </r>
  </si>
  <si>
    <r>
      <rPr>
        <b/>
        <sz val="11"/>
        <rFont val="Calibri"/>
        <family val="2"/>
        <scheme val="minor"/>
      </rPr>
      <t>Upfront</t>
    </r>
    <r>
      <rPr>
        <sz val="11"/>
        <rFont val="Calibri"/>
        <family val="2"/>
        <scheme val="minor"/>
      </rPr>
      <t xml:space="preserve"> embodied cabon modelled predicted value units</t>
    </r>
  </si>
  <si>
    <t>EMBODIED CARBON OF MEP</t>
  </si>
  <si>
    <t>Have embodied carbon studies been carried out (or are underway) for the MEP systems?</t>
  </si>
  <si>
    <t>Brief description of the MEP embodied carbon studies</t>
  </si>
  <si>
    <t>What was done, key findings, ability to influence the design, etc.</t>
  </si>
  <si>
    <t>For example, looking at the embodied carbon footprints of MEP system design options, incl. for BREEAM Mat 01. 
Considerartions could include, heating, cooling, ventilation, electrical or other MEP systems. 
The studies could be strategic, whole system scale or small component scale. 
Including new, reuse or refurbished approaches.</t>
  </si>
  <si>
    <t>Some edits to the Metrics + Notes have been made- should have highlighted them, but didn’t</t>
  </si>
  <si>
    <r>
      <t>Predicted peak space heating load (W/m</t>
    </r>
    <r>
      <rPr>
        <sz val="11"/>
        <rFont val="Calibri"/>
        <family val="2"/>
      </rPr>
      <t>²)</t>
    </r>
  </si>
  <si>
    <t>Peak space heat load</t>
  </si>
  <si>
    <t>W/m2 TFA</t>
  </si>
  <si>
    <t>W</t>
  </si>
  <si>
    <t>m2 GIA</t>
  </si>
  <si>
    <t>m2 TFA</t>
  </si>
  <si>
    <t>GIA / TFA</t>
  </si>
  <si>
    <t>W/m2 GIA</t>
  </si>
  <si>
    <t xml:space="preserve">Peak loads are important metrics for NZC because they stongly influence the capacity of (very low carbon) power stations that will be required for the UK.     </t>
  </si>
  <si>
    <t>Does the project have operational energy model(s) that go beyond regulated (e.g. building regs) energy?</t>
  </si>
  <si>
    <t>Multi selection list including option for 3  user defined (TM54 or similar using DSM, TM54 or similar using PHPP, DSM with Detailed HVAC or NABERS, BRUKL+Spreadsheet,  SAP+Spreadsheet, Custom Speadsheet, UserDef1, UserDef2, UserDef3)</t>
  </si>
  <si>
    <t xml:space="preserve">Discussions with GS - yes, we think it's worth aderessing this, what metrics exit? </t>
  </si>
  <si>
    <t>Level 1</t>
  </si>
  <si>
    <t>Level 2</t>
  </si>
  <si>
    <t>Level 3</t>
  </si>
  <si>
    <t>Level 4</t>
  </si>
  <si>
    <t>Level 5</t>
  </si>
  <si>
    <t>Level 6</t>
  </si>
  <si>
    <t>Level 7</t>
  </si>
  <si>
    <t>Level 8</t>
  </si>
  <si>
    <t>Section</t>
  </si>
  <si>
    <t>Workstage</t>
  </si>
  <si>
    <t>Topic</t>
  </si>
  <si>
    <t>Item</t>
  </si>
  <si>
    <t>Idea for data structure (heirarchal way to display info and create unique field IDs)</t>
  </si>
  <si>
    <t>Value(s)</t>
  </si>
  <si>
    <t>Data</t>
  </si>
  <si>
    <t xml:space="preserve">General notes for the Webapp / UI developer: 
We've asumed that multi-items lists including user defined items are available. i.e. one where multiple options can be selected including enterting and selecting a number of custom items. If user defined items in this way are not available, then can include "other" in the list and incude one or more additonal input boxes below for folk to type their own. </t>
  </si>
  <si>
    <t>RIBA Stage of the Sustainability Metrics Early Design Stage Information</t>
  </si>
  <si>
    <t>Subtopic1</t>
  </si>
  <si>
    <t>Subtopic2</t>
  </si>
  <si>
    <t>Types of refrigerant(s) being used in the project</t>
  </si>
  <si>
    <t>Multi selection list  (None being used GWP = 0, Very Low GWP &lt; 50, Low GWP &lt; 500, Medium &lt; 800, High &gt; 800)</t>
  </si>
  <si>
    <t>Choose all relevant options. 
Very low GWP options include R290, R744. 
Low GWP options include R454B
Medium GWP options include R32, R450A, R-452B, R-513A</t>
  </si>
  <si>
    <t>If refrigerants with high GWP &gt; 800 are being used, what are the reasons ?</t>
  </si>
  <si>
    <t>Have added this as, more so, than the peak space heat demand, it's the thing that matters and easiest to measure</t>
  </si>
  <si>
    <t xml:space="preserve">The peak space heating load (or demand) is the peak heat loss of the building(s)m which is equal to the peak outputs required from the heat emitters (such as radiators) to heat the spaces to the required temperatures. 
Potential methods to cacluate the peak space heating load include the followoing: 
a) Steady state heat loss cacluations such as those described in the CIBSE A Guide, EN 12831-1, HVDH Domestic Heating Design Guide, or similar. These type of models can incorporate non-steady state features such as intermittant heating, for example using the Reheat Factor approach described in EN 12831.
b) PHPP (steady state) space heating load, 
c) Dynamic simulation modelling, such as IES VE Apache, Energy+, or similar
d) Estimates based on measured data (with or without extrapolation)
e) estimates based on practical experience
Note, the use of DSM NCM (Building regs or similar) models is not reccommended for peak space heating load, as the assumed (non editable) short morning warm-up times are likely to result in gross over estimates.
</t>
  </si>
  <si>
    <t xml:space="preserve">Multi selection list  including option for 2 user defined (Steady state model CIBSE or similar, PHPP space heat load, DSM, Measured with or without extrapolation, Estimate base don experience, UserDef1, UserDef2, ) </t>
  </si>
  <si>
    <t>7 , 8 or 10 tier hierarcical data structure</t>
  </si>
  <si>
    <t>Are there provisions in the design to be able to meter the project's operational energy, to be able to compare the outcome to the targets?</t>
  </si>
  <si>
    <t>consider putting this as a section within EC</t>
  </si>
  <si>
    <t>Detailed Design Stage</t>
  </si>
  <si>
    <t>RIBA Stage of the Sustainability Metrics Detailed Design Stage Information</t>
  </si>
  <si>
    <t>Single selection list (3,4,5)</t>
  </si>
  <si>
    <t>Recommedned to be completed 50% of the way through RIBA Stage 4. 
But could be earlier or later</t>
  </si>
  <si>
    <t>Same set of quesitons as above, might need to reword</t>
  </si>
  <si>
    <t>…</t>
  </si>
  <si>
    <t>Post Construction Stage</t>
  </si>
  <si>
    <t>RIBA Stage of the Sustainability Metrics Post Construction Stage Information</t>
  </si>
  <si>
    <t>Recommedned to be completed 10 to 15 months after building occupation
But could be earlier or later</t>
  </si>
  <si>
    <t>Similar set of quesitons as above but will need rewording to change things like "predicted" to "measured"</t>
  </si>
  <si>
    <t>Change so that the RIBA stage (or month following occupation) input is for each section? 
Bad cos more complex, 
Good cos might have different dates for things, such as post PC EC and operationl EUI</t>
  </si>
  <si>
    <t>Villa Building</t>
  </si>
  <si>
    <t>Predicted EUI</t>
  </si>
  <si>
    <t>Predicted EUI Unit</t>
  </si>
  <si>
    <r>
      <t>kWh/m</t>
    </r>
    <r>
      <rPr>
        <sz val="11"/>
        <color theme="1"/>
        <rFont val="Calibri"/>
        <family val="2"/>
      </rPr>
      <t>² GIA/yr</t>
    </r>
  </si>
  <si>
    <t>Stephen Taylor Building</t>
  </si>
  <si>
    <t>Operational Energy</t>
  </si>
  <si>
    <r>
      <t xml:space="preserve">For guidance on NZC compatible operational energy targets see </t>
    </r>
    <r>
      <rPr>
        <sz val="11"/>
        <color rgb="FFFF0000"/>
        <rFont val="Calibri"/>
        <family val="2"/>
        <scheme val="minor"/>
      </rPr>
      <t xml:space="preserve">MF Wiki article LINK TO ADD. </t>
    </r>
    <r>
      <rPr>
        <sz val="11"/>
        <color theme="1"/>
        <rFont val="Calibri"/>
        <family val="2"/>
        <scheme val="minor"/>
      </rPr>
      <t xml:space="preserve">
Note, that a project might take a stepped or phased approach to reach an end goal energy target. </t>
    </r>
  </si>
  <si>
    <t>See guiance notes for the previous item</t>
  </si>
  <si>
    <t>Question, why we are asking for this? Do we really want to need this info?</t>
  </si>
  <si>
    <t>Job Number &amp; Project Name</t>
  </si>
  <si>
    <t>J6150 Cranmer Road</t>
  </si>
  <si>
    <t>Examples</t>
  </si>
  <si>
    <t>J7105 Pembroke College</t>
  </si>
  <si>
    <t>Re "Other" get more fieleds if approach other way</t>
  </si>
  <si>
    <t>Do we want to call them "Sustainability Metrics" or "Beyond Net Zero Metrics"</t>
  </si>
  <si>
    <t>Beyond Net Zero Metrics: Proposed developments to Webapp</t>
  </si>
  <si>
    <t>Unique ID</t>
  </si>
  <si>
    <t>Upfront EC Target</t>
  </si>
  <si>
    <t>Macmillan Building</t>
  </si>
  <si>
    <t>Peak space heating load prediction method</t>
  </si>
  <si>
    <r>
      <t xml:space="preserve">Predicted peak </t>
    </r>
    <r>
      <rPr>
        <b/>
        <sz val="11"/>
        <color theme="1"/>
        <rFont val="Calibri"/>
        <family val="2"/>
        <scheme val="minor"/>
      </rPr>
      <t>winter</t>
    </r>
    <r>
      <rPr>
        <sz val="11"/>
        <color theme="1"/>
        <rFont val="Calibri"/>
        <family val="2"/>
        <scheme val="minor"/>
      </rPr>
      <t xml:space="preserve"> whole building electrical load (W/m²)</t>
    </r>
  </si>
  <si>
    <t>Need this here, as the existing job info, doesn’t allow mutilple parts of a project</t>
  </si>
  <si>
    <t>Discussion to be had on the approach to having multiple buildings  within a project, or parts within a project</t>
  </si>
  <si>
    <t>Trying to capture the info about who is doing which aspects is tricky (i.e if it's by MF or by others",  because there's so many options. It feels like if simplify, then every answer will be "in part by MF, in part by others". So perhaps don’t bother and just provide guidance on completing the questions if the thing is happeing on a project, but not by max fordham</t>
  </si>
  <si>
    <t>Do we want a question ralting to "section of a larger building"</t>
  </si>
  <si>
    <t>Item prompt</t>
  </si>
  <si>
    <t>JXXXX Job Name</t>
  </si>
  <si>
    <t>Building 1</t>
  </si>
  <si>
    <t>Item (short name)</t>
  </si>
  <si>
    <t>General Information</t>
  </si>
  <si>
    <t>Name of this section of the project</t>
  </si>
  <si>
    <t>Project Section Name</t>
  </si>
  <si>
    <r>
      <t>GIA (m</t>
    </r>
    <r>
      <rPr>
        <sz val="11"/>
        <color theme="1"/>
        <rFont val="Calibri"/>
        <family val="2"/>
      </rPr>
      <t>²</t>
    </r>
    <r>
      <rPr>
        <sz val="9.9"/>
        <color theme="1"/>
        <rFont val="Calibri"/>
        <family val="2"/>
      </rPr>
      <t>)</t>
    </r>
  </si>
  <si>
    <r>
      <t>NIA (m</t>
    </r>
    <r>
      <rPr>
        <sz val="11"/>
        <color theme="1"/>
        <rFont val="Calibri"/>
        <family val="2"/>
      </rPr>
      <t>²</t>
    </r>
    <r>
      <rPr>
        <sz val="9.9"/>
        <color theme="1"/>
        <rFont val="Calibri"/>
        <family val="2"/>
      </rPr>
      <t>)</t>
    </r>
  </si>
  <si>
    <t>New Build or Refurb</t>
  </si>
  <si>
    <t>Fossil Fuels During Operation</t>
  </si>
  <si>
    <t>New or Existing Fossil Fuel Use</t>
  </si>
  <si>
    <t>Type(s) of fossil fuel in use</t>
  </si>
  <si>
    <t>Fossil Fuels Present</t>
  </si>
  <si>
    <t>Unique Item ID</t>
  </si>
  <si>
    <t>RIBA Stage Info</t>
  </si>
  <si>
    <t>Types of  Fossil Fuel in Use</t>
  </si>
  <si>
    <t>D&amp;B projects sytage 3 Ers guidance</t>
  </si>
  <si>
    <t>where wer have A, B or Both - be consistnet with the approach , mutli selct or single slect with 3 options</t>
  </si>
  <si>
    <t>Rev 5</t>
  </si>
  <si>
    <t>24.09.2024</t>
  </si>
  <si>
    <t>New Build, Refurbishment or Both</t>
  </si>
  <si>
    <t>Multi selection list (New Build, Refurbishment)</t>
  </si>
  <si>
    <t xml:space="preserve">Choose both New Build and Refub for projects that include significant fractions of both. 
</t>
  </si>
  <si>
    <t>Date</t>
  </si>
  <si>
    <t>Version</t>
  </si>
  <si>
    <t>24.09.24</t>
  </si>
  <si>
    <t>Changes</t>
  </si>
  <si>
    <t>What are the end use catagories and /or system types for the fossil fuels will be used?</t>
  </si>
  <si>
    <t>Multi selection list (Natural gas, Oil, Diesel, LPG, Petrol, Coal, Other type)</t>
  </si>
  <si>
    <t>Attempted to apply consistent approach for multi or single selction list, when both options apply</t>
  </si>
  <si>
    <t xml:space="preserve">Select all relevant options.  
</t>
  </si>
  <si>
    <t>Will the proposed designs make uses of New and/or Existing fossil fuel systems ?</t>
  </si>
  <si>
    <t xml:space="preserve">Multi selection list  (Space heating, DHW, Catering, Life safety systems, Back up power/heat, Other specialist equipment, Heat network, CHP) </t>
  </si>
  <si>
    <t xml:space="preserve">Have simplified the what are the fossil fules used for question to remove "existing" and "new" prefix types. </t>
  </si>
  <si>
    <t>Have removed facility for "Other User Defined" from fossil fule types . Have simplified the list of tisk options</t>
  </si>
  <si>
    <t>Is there a better lay persons title?</t>
  </si>
  <si>
    <t>PEAK ENERGY LOADS</t>
  </si>
  <si>
    <r>
      <t>RLEI for the building services used within for the project? (kgCO2e/m</t>
    </r>
    <r>
      <rPr>
        <sz val="11"/>
        <rFont val="Calibri"/>
        <family val="2"/>
      </rPr>
      <t>²</t>
    </r>
    <r>
      <rPr>
        <sz val="9.9"/>
        <rFont val="Calibri"/>
        <family val="2"/>
      </rPr>
      <t>/yr)</t>
    </r>
  </si>
  <si>
    <r>
      <t xml:space="preserve">RLEI = "Refrigerant Leakage Emissions Intensity" = Mass of refrigerant leakage per year x refrigerant GWP / GIA.
See TM65 for leakage rates of different system types. 
</t>
    </r>
    <r>
      <rPr>
        <sz val="11"/>
        <color rgb="FFFF0000"/>
        <rFont val="Calibri"/>
        <family val="2"/>
        <scheme val="minor"/>
      </rPr>
      <t>Link to calculator</t>
    </r>
  </si>
  <si>
    <r>
      <t>Multi selection list including option for 1  user defined (kWh/m</t>
    </r>
    <r>
      <rPr>
        <sz val="11"/>
        <color theme="1"/>
        <rFont val="Calibri"/>
        <family val="2"/>
      </rPr>
      <t xml:space="preserve">² GIA/yr,kWh/m² NIA/yr, UserDef1) </t>
    </r>
  </si>
  <si>
    <t>Do we want to add a question type "Main Barrier to achieving X, Y , Z" with predefined options   (Budget, Difficulty sourcing relevant materials or equipment, targets technically unfeasible to meet, Opposing client brief)</t>
  </si>
  <si>
    <t xml:space="preserve">Select all relevant options. 
DHW = domestic hot water, refering to heating of water that is used at taps, showers, etc.
Examples of "Other specialist equipment" include swimming pool heating, kilns, welding, brasing, bunsen burners, etc. 
Examples of "Heat network" include municipal district heating or schemes with private remote energy centres 
</t>
  </si>
  <si>
    <r>
      <t xml:space="preserve">For example, EUI target, NABERS star, etc. For guidance on choosing NZC compatible operational energy targets see </t>
    </r>
    <r>
      <rPr>
        <sz val="11"/>
        <color rgb="FFFF0000"/>
        <rFont val="Calibri"/>
        <family val="2"/>
        <scheme val="minor"/>
      </rPr>
      <t>MF Wiki article LINK TO ADD</t>
    </r>
  </si>
  <si>
    <t>Fossil Fuel Uses and Systems</t>
  </si>
  <si>
    <t>Building type(s)</t>
  </si>
  <si>
    <t>See below, question realting to "datasources" for guidance on reference providing lists of building types.
For mixed use developments one could enter  "Mixed use development" and/or provide informartion on the make up such as " Sports with 70% dry and 30% wet", "70% Flats, 30% Commercial units" etc.</t>
  </si>
  <si>
    <t>Change no.</t>
  </si>
  <si>
    <t>25.09.24</t>
  </si>
  <si>
    <t xml:space="preserve">Following completion of our project, are fossil fuels proposed to serve any part of the project? 
Only respond "Yes" if the final design(s) include fossil fuels. i.e. answer "No" if existing fossil fuel systems are being designed out within the scope of the project. 
Answer "Yes" if there are fossil fuel powered equipment or systems within the parts of the project we are working on.  
For projects that use district heat networks (DHN), unless compelling evidence is available to suggest the contrary, assume the DHN uses fossil fuel heat sources. </t>
  </si>
  <si>
    <t>Building Types</t>
  </si>
  <si>
    <t>Have made the Building Types list as the UK NZC BS - and set it up with an example Multiselection list in cell</t>
  </si>
  <si>
    <t>Have removed the questions about fossil fuel plant types and combined it with the end use catagories question</t>
  </si>
  <si>
    <t>Have moved building type to General Info</t>
  </si>
  <si>
    <t>Have removed all items of the type Work leaders and further comments - reduced by 8 itesm</t>
  </si>
  <si>
    <t>Omit this item?</t>
  </si>
  <si>
    <r>
      <t xml:space="preserve">DSM = Dynamic simulation modelling, for example IES, Energy+, TAS  (Also know as DTM, dynamic thermal simulation)
PHPP = Passivhaus Planning Package spreadsheet
"TM54 or similar"  describes a general approach where on sets up a custom model not using building regs or similar predefined templates. All PHPP projects customised to also report EUI would be of this type. 
"DSM Detailed HVAC or NABERS" refers to DSM with the inclusion of detailed component based plant modelling.
"BRUKL+Spreadsheet" describes using an NCM or building regs type approach combined with additional custom spreadsheet analysis. For example, IES VE Compliance module + spreadsheet for aspects such as lifts and catering energy.
Whilst not being the prefered approach, it is possible to use building regulations (e.g. BRUKL, NCM or SAP) type model outputs combined with our own authored spreadsheet calcs to address the aspects not picked up by the b.regs models, such as unregulated loads. These methods can be useful if the  building use types can be reasonably represented by one or more of the the building regs model templates available.  
</t>
    </r>
    <r>
      <rPr>
        <sz val="11"/>
        <color rgb="FFFF0000"/>
        <rFont val="Calibri"/>
        <family val="2"/>
        <scheme val="minor"/>
      </rPr>
      <t xml:space="preserve">Provide link to guidance article. Currently being written
</t>
    </r>
    <r>
      <rPr>
        <sz val="11"/>
        <rFont val="Calibri"/>
        <family val="2"/>
        <scheme val="minor"/>
      </rPr>
      <t xml:space="preserve">
</t>
    </r>
  </si>
  <si>
    <r>
      <rPr>
        <sz val="11"/>
        <color theme="5" tint="-0.249977111117893"/>
        <rFont val="Calibri"/>
        <family val="2"/>
        <scheme val="minor"/>
      </rPr>
      <t>Omit this item?</t>
    </r>
    <r>
      <rPr>
        <u/>
        <sz val="11"/>
        <color theme="10"/>
        <rFont val="Calibri"/>
        <family val="2"/>
        <scheme val="minor"/>
      </rPr>
      <t xml:space="preserve">
https://www.ukgbc.org/wp-content/uploads/2020/01/UKGBC-Net-Zero-Carbon-Energy-Performance-Targets-for-Offices.pdf
https://ukgbc.org/wp-content/uploads/2024/01/Retrofitting-Office-Buildings-Building-the-Case-for-Net-Zero.pdf
https://www.architecture.com/-/media/Files/RIBA-2030-Climate-Challenge-Slides.pdf
https://www.leti.uk/cedg
https://www.leti.uk/retrofit
https://www.england.nhs.uk/publication/nhs-net-zero-building-standard/
https://sdfoundation.org.uk/news/retrofit-at-scale</t>
    </r>
    <r>
      <rPr>
        <u/>
        <sz val="11"/>
        <color rgb="FFFF0000"/>
        <rFont val="Calibri"/>
        <family val="2"/>
        <scheme val="minor"/>
      </rPr>
      <t xml:space="preserve">
</t>
    </r>
    <r>
      <rPr>
        <u/>
        <sz val="11"/>
        <color theme="10"/>
        <rFont val="Calibri"/>
        <family val="2"/>
        <scheme val="minor"/>
      </rPr>
      <t>https://www.gov.uk/government/collections/school-design-and-construction#employers-requirements:-schools
https://assets.publishing.service.gov.uk/media/6580448b83ba38000de1b74c/FE-OS_GDB_Annex_2H-Energy-A-C04.pdf</t>
    </r>
  </si>
  <si>
    <t>Provide some guidance notes on how to calculate</t>
  </si>
  <si>
    <t xml:space="preserve">Might need to think about the embodied carbon items - UK NZC BS - mthod for refurbs.  Do we nee dto be clear on whole building or not? </t>
  </si>
  <si>
    <t xml:space="preserve">UK NZC BS = "UK Net Zero Carbon Building Standard "
MF OET = "Max Fordham Operational Energy Targets for Net Zero Carbon Buildings"
LETI/RIBA TA = "LETI/RIBA Target Alignment"
LETI CEDG = "LETI Climate Emergency Design Guide" 
RIBA CCV1 = "RIBA Climate Challenge Version1"
RIBA CCV2 = "RIBA Climate Challenge Version2"
GLA WLC = "Mayor of London, Greater London Assembly Whole Life Carbon" 
WCC RF = "Westminster City Council Retrfofit First"
NHS NZ BS = "NHS Net Zero Building Standard"
SBT = "Science Based Targets" 
</t>
  </si>
  <si>
    <r>
      <t xml:space="preserve">UK NZC BS = "UK Net Zero Carbon Building Standard 2024" 
MF OET = "Max Fordham Operational Energy Targets for Net Zero Carbon Buildings"
UKGBC NZO = "UKGBC Net zero carbon: energy performance targets for offices"
UKGBC ROB = "UKGBC Building the Case For Net Zero: Retrofitting Office Buildings" 
RIBA CCV1 = "RIBA Climate Challenge Version1"
RIBA CCV2 = "RIBA Climate Challenge Version2"
LETI CEDG = "LETI Climate Emergency Design Guide" 
LETI CERG = "LETI Climate Emergency Retrofit Guide"
SDF RAS = "Sustainable Development Foundation Retrofit at Scale"
DFE SS = "Department for Education School Specification" or Similar UK government datasource
DFE FES = "Department for Further Eductions Specification" or Similar UK government datasource
NHS NZ BS = "NHS Net Zero Building Standard"
SBT = "Science Based Targets" 
</t>
    </r>
    <r>
      <rPr>
        <sz val="11"/>
        <color rgb="FFFF0000"/>
        <rFont val="Calibri"/>
        <family val="2"/>
        <scheme val="minor"/>
      </rPr>
      <t>Provide link to guidance article. Currently being written</t>
    </r>
    <r>
      <rPr>
        <sz val="11"/>
        <color theme="1"/>
        <rFont val="Calibri"/>
        <family val="2"/>
        <scheme val="minor"/>
      </rPr>
      <t xml:space="preserve">
</t>
    </r>
  </si>
  <si>
    <t xml:space="preserve">Omit? - replace with guidance ? </t>
  </si>
  <si>
    <t xml:space="preserve">Multi selection list  including option for 3 user defined (Need to use existing plant, Requirement of the brief, Cant find suitable low GWP equipment, Fire risk, Not enough space, Cost, UserDef1, UserDef2, UserDef3) </t>
  </si>
  <si>
    <t>37 new questions</t>
  </si>
  <si>
    <t>Provide some non trivial examples</t>
  </si>
  <si>
    <t>Need really good gudiance in prominent place othat folks should include wprks by non MF orginaisations</t>
  </si>
  <si>
    <t>Have removed itesm rlesaitng to lifecycle embodied carbon - reduced by 8 items</t>
  </si>
  <si>
    <r>
      <t>Multi selection list including 1 option for user defined (kWh/m</t>
    </r>
    <r>
      <rPr>
        <sz val="11"/>
        <color theme="1"/>
        <rFont val="Calibri"/>
        <family val="2"/>
      </rPr>
      <t xml:space="preserve">² GIA/yr,kWh/m² NIA/yr, UserDef1, ) </t>
    </r>
  </si>
  <si>
    <t>EUI weight</t>
  </si>
  <si>
    <t>Area % + Type + Separator</t>
  </si>
  <si>
    <t>Seperator</t>
  </si>
  <si>
    <t>Area % + Type</t>
  </si>
  <si>
    <t>Build Type and Use Type Shorthand</t>
  </si>
  <si>
    <t>Mixed Use Type 5 Workings</t>
  </si>
  <si>
    <t>EUI Target Unit</t>
  </si>
  <si>
    <t>EUI Target</t>
  </si>
  <si>
    <t>Element EUI Targets</t>
  </si>
  <si>
    <t>Use Type Area Fractions</t>
  </si>
  <si>
    <t>Use Type Floor Area Fractions</t>
  </si>
  <si>
    <t>Build and Use Types</t>
  </si>
  <si>
    <t>NB_Retail - F&amp;B with catering (b)</t>
  </si>
  <si>
    <t>RFOG_Commercial Resi - Student Residential</t>
  </si>
  <si>
    <t xml:space="preserve">RFOG_Higher Education </t>
  </si>
  <si>
    <r>
      <t xml:space="preserve">Build and Use Types
</t>
    </r>
    <r>
      <rPr>
        <i/>
        <sz val="11"/>
        <color rgb="FF000000"/>
        <rFont val="Calibri"/>
        <family val="2"/>
      </rPr>
      <t xml:space="preserve">
Choose from list or delete to deselect</t>
    </r>
  </si>
  <si>
    <t xml:space="preserve">Proposed year of Construction or Retrofit (including project margin) </t>
  </si>
  <si>
    <t>Checks and comments</t>
  </si>
  <si>
    <t xml:space="preserve">Mixed Use Development Overall </t>
  </si>
  <si>
    <t>Build and Use Type : Area 6</t>
  </si>
  <si>
    <t>Build and Use Type : Area 5</t>
  </si>
  <si>
    <t>Build and Use Type : Area 4</t>
  </si>
  <si>
    <t>Build and Use Type : Area 3</t>
  </si>
  <si>
    <t>Build and Use Type : Area 2</t>
  </si>
  <si>
    <t>Build and Use Type : Area 1</t>
  </si>
  <si>
    <t>Mixed Use Type 5</t>
  </si>
  <si>
    <t>Mixed Use Type 4 Workings</t>
  </si>
  <si>
    <t>NB_Office - General (GIA)</t>
  </si>
  <si>
    <t>RFOG_Office - General (GIA)</t>
  </si>
  <si>
    <t>Mixed Use Type 4</t>
  </si>
  <si>
    <t>Mixed Use Type 3 Workings</t>
  </si>
  <si>
    <t>NB_Office - General (NIA)</t>
  </si>
  <si>
    <t>RFOG_Office - General (NIA)</t>
  </si>
  <si>
    <t>Mixed Use Type 3</t>
  </si>
  <si>
    <t>Mixed Use Type 2 Workings</t>
  </si>
  <si>
    <r>
      <t xml:space="preserve">e) </t>
    </r>
    <r>
      <rPr>
        <sz val="11"/>
        <color rgb="FF000000"/>
        <rFont val="Calibri"/>
        <family val="2"/>
      </rPr>
      <t>if possible use consistent area unit (GIA or NIA) for area weighted mixed use targets</t>
    </r>
  </si>
  <si>
    <r>
      <t xml:space="preserve">d) </t>
    </r>
    <r>
      <rPr>
        <sz val="11"/>
        <color rgb="FF000000"/>
        <rFont val="Calibri"/>
        <family val="2"/>
      </rPr>
      <t>can't use data centre PUE for area weighted approach</t>
    </r>
  </si>
  <si>
    <t xml:space="preserve">NB_Sport &amp; Leisure - Fitness </t>
  </si>
  <si>
    <t xml:space="preserve">NB_Sport &amp; Leisure - Wet </t>
  </si>
  <si>
    <t xml:space="preserve">NB_Sport &amp; Leisure - Dry </t>
  </si>
  <si>
    <r>
      <rPr>
        <b/>
        <sz val="11"/>
        <color rgb="FF000000"/>
        <rFont val="Calibri"/>
        <family val="2"/>
      </rPr>
      <t>c)</t>
    </r>
    <r>
      <rPr>
        <sz val="11"/>
        <color rgb="FF000000"/>
        <rFont val="Calibri"/>
        <family val="2"/>
      </rPr>
      <t xml:space="preserve"> in this Pilot version, this is only for use in Commercial Centres, to create area-weighted whole building limits, using the landlord areas and retail mix </t>
    </r>
  </si>
  <si>
    <r>
      <rPr>
        <b/>
        <sz val="11"/>
        <color rgb="FF000000"/>
        <rFont val="Calibri"/>
        <family val="2"/>
      </rPr>
      <t>b)</t>
    </r>
    <r>
      <rPr>
        <sz val="11"/>
        <color rgb="FF000000"/>
        <rFont val="Calibri"/>
        <family val="2"/>
      </rPr>
      <t xml:space="preserve"> e.g., restaurant, pub, fast food with on-site food preparation / catering  </t>
    </r>
  </si>
  <si>
    <t>Mixed Use Type 2</t>
  </si>
  <si>
    <r>
      <rPr>
        <b/>
        <sz val="11"/>
        <color rgb="FF000000"/>
        <rFont val="Calibri"/>
        <family val="2"/>
      </rPr>
      <t>a)</t>
    </r>
    <r>
      <rPr>
        <sz val="11"/>
        <color rgb="FF000000"/>
        <rFont val="Calibri"/>
        <family val="2"/>
      </rPr>
      <t xml:space="preserve"> i.e. only cold/hot drinks or cold food, no on-site kitchen  </t>
    </r>
  </si>
  <si>
    <t>Area Fractions Mixed Use Type 5</t>
  </si>
  <si>
    <t>Area Fractions Mixed Use Type 4</t>
  </si>
  <si>
    <t>Area Fractions Mixed Use Type 3</t>
  </si>
  <si>
    <t>Mixed Use Type 1 Workings</t>
  </si>
  <si>
    <t>Area Fractions Mixed Use Type 2</t>
  </si>
  <si>
    <t>Area Fractions Mixed Use Type 1</t>
  </si>
  <si>
    <t xml:space="preserve">NB_School - Primary  </t>
  </si>
  <si>
    <t xml:space="preserve">NB_School - Early years </t>
  </si>
  <si>
    <t xml:space="preserve">NB_Homes - Flats </t>
  </si>
  <si>
    <t>Mixed Use Type 1</t>
  </si>
  <si>
    <t>MU5</t>
  </si>
  <si>
    <t>MU4</t>
  </si>
  <si>
    <t>MU3</t>
  </si>
  <si>
    <t>kWh/m²GIA/yr</t>
  </si>
  <si>
    <t>kWh/m²NIA/yr</t>
  </si>
  <si>
    <t>PUE</t>
  </si>
  <si>
    <t>MU2</t>
  </si>
  <si>
    <t>RFOG Store &amp; Dist Cold</t>
  </si>
  <si>
    <t xml:space="preserve">RFOG Store &amp; Dist Cond. </t>
  </si>
  <si>
    <t xml:space="preserve">RFOG Store &amp; Dist Uncond. </t>
  </si>
  <si>
    <t>RFOG Sport &amp;L Fit.</t>
  </si>
  <si>
    <t>RFOG Sport &amp;L Wet</t>
  </si>
  <si>
    <t>RFOG Sport &amp;L Dry</t>
  </si>
  <si>
    <t>RFOG Sci. &amp;Tech.</t>
  </si>
  <si>
    <t>RFOG School Sec.</t>
  </si>
  <si>
    <t>RFOG School Pri.</t>
  </si>
  <si>
    <t>RFOG School E.Y.</t>
  </si>
  <si>
    <t>RFOG Retail W.H</t>
  </si>
  <si>
    <t>RFOG Retail LL.</t>
  </si>
  <si>
    <t>RFOG Retail FB inc. Cater.</t>
  </si>
  <si>
    <t>RFOG Retail FB w/o Cater.</t>
  </si>
  <si>
    <t>RFOG Retail Hi. St.</t>
  </si>
  <si>
    <t>RFOG Retail Super M.</t>
  </si>
  <si>
    <t>RFOG Off. Tr. Fl. (NIA)</t>
  </si>
  <si>
    <t>RFOG Off. Tr. Fl. (GIA)</t>
  </si>
  <si>
    <t>RFOG. Call Cen. (NIA)</t>
  </si>
  <si>
    <t>RFOG Off. Call Cen. (GIA)</t>
  </si>
  <si>
    <t>RFOG Off. Gen. (NIA)</t>
  </si>
  <si>
    <t>RFOG Off. Gen. (GIA)</t>
  </si>
  <si>
    <t>RFOG Hotel</t>
  </si>
  <si>
    <t>RFOG Home Flat.</t>
  </si>
  <si>
    <t>RFOG Home S.F.</t>
  </si>
  <si>
    <t>RFOG High. Ed.</t>
  </si>
  <si>
    <t>RFOG Health. Amb.</t>
  </si>
  <si>
    <t>RFOG Health. MH &amp; L. .</t>
  </si>
  <si>
    <t>RFOG Health. Comm.</t>
  </si>
  <si>
    <t>RFOG Health. Care</t>
  </si>
  <si>
    <t>RFOG Health. Acute</t>
  </si>
  <si>
    <t>RFOG C&amp;E Arch.</t>
  </si>
  <si>
    <t xml:space="preserve">RFOG C&amp;E Collec. </t>
  </si>
  <si>
    <t>RFOG C&amp;E Perfor.</t>
  </si>
  <si>
    <t>RFOG Care Home</t>
  </si>
  <si>
    <t>RFOG Stud. Resi.</t>
  </si>
  <si>
    <t>NB Store &amp; Dist Cold</t>
  </si>
  <si>
    <t xml:space="preserve">NB Store &amp; Dist Cond. </t>
  </si>
  <si>
    <t xml:space="preserve">NB Store &amp; Dist Uncond. </t>
  </si>
  <si>
    <t>NB Sport &amp;L Fit.</t>
  </si>
  <si>
    <t>NB Sport &amp;L Wet</t>
  </si>
  <si>
    <t>NB Sport &amp;L Dry</t>
  </si>
  <si>
    <t>NB Sci. &amp;Tech.</t>
  </si>
  <si>
    <t>NB School Sec.</t>
  </si>
  <si>
    <t>NB School Pri.</t>
  </si>
  <si>
    <t>NB School E.Y.</t>
  </si>
  <si>
    <t>NB Retail W.H</t>
  </si>
  <si>
    <t>NB Retail LL.</t>
  </si>
  <si>
    <t>NB Retail FB inc. Cater.</t>
  </si>
  <si>
    <t>NB Retail FB w/o Cater.</t>
  </si>
  <si>
    <t>NB Retail Hi. St.</t>
  </si>
  <si>
    <t>NB Retail Super M.</t>
  </si>
  <si>
    <t>NB Off. Tr. Fl. (NIA)</t>
  </si>
  <si>
    <t>NB Off. Tr. Fl. (GIA)</t>
  </si>
  <si>
    <t>NB. Call Cen. (NIA)</t>
  </si>
  <si>
    <t>NB Off. Call Cen. (GIA)</t>
  </si>
  <si>
    <t>NB Off. Gen. (NIA)</t>
  </si>
  <si>
    <t>NB Off. Gen. (GIA)</t>
  </si>
  <si>
    <t>NB Hotel</t>
  </si>
  <si>
    <t>NB Home Flat.</t>
  </si>
  <si>
    <t>NB Home S.F.</t>
  </si>
  <si>
    <t>NB High. Ed.</t>
  </si>
  <si>
    <t>NB Health.</t>
  </si>
  <si>
    <t>NB C&amp;E Arch.</t>
  </si>
  <si>
    <t xml:space="preserve">NB C&amp;E Collec. </t>
  </si>
  <si>
    <t>NB C&amp;E Perfor.</t>
  </si>
  <si>
    <t>NB Care Home</t>
  </si>
  <si>
    <t>NB Stud. Resi.</t>
  </si>
  <si>
    <t>MU1</t>
  </si>
  <si>
    <t>RETROFIT STEPPED TYPES</t>
  </si>
  <si>
    <t>CUSTOM MIXED USE TYPES</t>
  </si>
  <si>
    <t>RFOG_Storage &amp; Distribution - Cold Store</t>
  </si>
  <si>
    <t xml:space="preserve">RFOG_Storage &amp; Distribution - Conditioned </t>
  </si>
  <si>
    <t xml:space="preserve">RFOG_Storage &amp; Distribution - Unconditioned </t>
  </si>
  <si>
    <t xml:space="preserve">RFOG_Sport &amp; Leisure - Fitness </t>
  </si>
  <si>
    <t xml:space="preserve">RFOG_Sport &amp; Leisure - Wet </t>
  </si>
  <si>
    <t xml:space="preserve">RFOG_Sport &amp; Leisure - Dry </t>
  </si>
  <si>
    <t>RFOG_Science and Technology</t>
  </si>
  <si>
    <t xml:space="preserve">RFOG_School -Secondary or SEN </t>
  </si>
  <si>
    <t xml:space="preserve">RFOG_School - Primary  </t>
  </si>
  <si>
    <t xml:space="preserve">RFOG_School - Early years </t>
  </si>
  <si>
    <t xml:space="preserve">RFOG_Retail - warehouse </t>
  </si>
  <si>
    <t>RFOG_Retail - Landlord areas (c)</t>
  </si>
  <si>
    <t>RFOG_Retail - F&amp;B with catering (b)</t>
  </si>
  <si>
    <t>RFOG_Retail - F&amp;B without catering (a)</t>
  </si>
  <si>
    <t xml:space="preserve">RFOG_Retail - High street retail e.g. dept. store </t>
  </si>
  <si>
    <t xml:space="preserve">RFOG_Retail - Supermarket </t>
  </si>
  <si>
    <t>RFOG_Office - Trading Floors (NIA)</t>
  </si>
  <si>
    <t>RFOG_Office - Trading Floors (GIA)</t>
  </si>
  <si>
    <t>RFOG_Office - Call Centre (NIA)</t>
  </si>
  <si>
    <t>RFOG_Office - Call Centre (GIA)</t>
  </si>
  <si>
    <t>RFOG_Hotel</t>
  </si>
  <si>
    <t xml:space="preserve">RFOG_Homes - Flats </t>
  </si>
  <si>
    <t xml:space="preserve">RFOG_Homes - Single family homes </t>
  </si>
  <si>
    <t>RFOG_Healthcare - Ambulance Trust</t>
  </si>
  <si>
    <t>RFOG_Healthcare - Mental Health &amp; Learning Trust</t>
  </si>
  <si>
    <t>RFOG_Healthcare - Community Trust</t>
  </si>
  <si>
    <t>RFOG_Healthcare - Care Trust</t>
  </si>
  <si>
    <t>RFOG_Healthcare-Acute Trust</t>
  </si>
  <si>
    <t xml:space="preserve">RFOG_Data Centre - High utilisation </t>
  </si>
  <si>
    <t xml:space="preserve">RFOG_Data Centre - Low utilisation </t>
  </si>
  <si>
    <t xml:space="preserve">RFOG_Culture &amp; Enterainment - Archive </t>
  </si>
  <si>
    <t xml:space="preserve">RFOG_Culture &amp; Enterainment - Collection (e.g. museum) </t>
  </si>
  <si>
    <t>RFOG_Culture &amp; Enterainment - Performance</t>
  </si>
  <si>
    <t>RFOG_Commercial Resi -Care Home</t>
  </si>
  <si>
    <t>RETROFIT IN ONE GO TYPES (From Table OE2)</t>
  </si>
  <si>
    <t>NB_Storage &amp; Distribution - Cold Store</t>
  </si>
  <si>
    <t xml:space="preserve">NB_Storage &amp; Distribution - Conditioned </t>
  </si>
  <si>
    <t xml:space="preserve">NB_Storage &amp; Distribution - Unconditioned </t>
  </si>
  <si>
    <t>NB_Science and Technology</t>
  </si>
  <si>
    <t xml:space="preserve">NB_School -Secondary or SEN </t>
  </si>
  <si>
    <t xml:space="preserve">NB_Retail - warehouse </t>
  </si>
  <si>
    <t>NB_Retail - Landlord areas (c)</t>
  </si>
  <si>
    <t>NB_Retail - F&amp;B without catering (a)</t>
  </si>
  <si>
    <t xml:space="preserve">NB_Retail - High street retail e.g. dept. store </t>
  </si>
  <si>
    <t xml:space="preserve">NB_Retail - Supermarket </t>
  </si>
  <si>
    <t>NB_Office - Trading Floors (NIA)</t>
  </si>
  <si>
    <t>NB_Office - Trading Floors (GIA)</t>
  </si>
  <si>
    <t>NB_Office - Call Centre (NIA)</t>
  </si>
  <si>
    <t>NB_Office - Call Centre (GIA)</t>
  </si>
  <si>
    <t>NB_Hotel</t>
  </si>
  <si>
    <t xml:space="preserve">NB_Homes - Single family homes </t>
  </si>
  <si>
    <t xml:space="preserve">NB_Higher Education </t>
  </si>
  <si>
    <t>NB_Healthcare</t>
  </si>
  <si>
    <t>NB_Data Centre - High utilisation (d)</t>
  </si>
  <si>
    <t>NB_Data Centre - Low utilisation (d)</t>
  </si>
  <si>
    <t xml:space="preserve">NB_Culture &amp; Enterainment - Archive </t>
  </si>
  <si>
    <t xml:space="preserve">NB_Culture &amp; Enterainment - Collection (e.g. museum) </t>
  </si>
  <si>
    <t>NB_Culture &amp; Enterainment - Performance</t>
  </si>
  <si>
    <t>NB_Commercial Resi -Care Home</t>
  </si>
  <si>
    <t>NB_Commercial Resi - Student Residential</t>
  </si>
  <si>
    <t>NEW BUILD TYPES (From Table OE1)</t>
  </si>
  <si>
    <t>ID</t>
  </si>
  <si>
    <t>Retrofit Step by Step Targets (Adapted from Table OE-3) - not yet available</t>
  </si>
  <si>
    <t xml:space="preserve">Custom Mixed Use Development Targets </t>
  </si>
  <si>
    <t>Retrofit in One Go Targets (Adapted from Table OE-2)</t>
  </si>
  <si>
    <t>New Build Targets (Adapted from Table OE-1)</t>
  </si>
  <si>
    <t>Summary - see below for user inputs</t>
  </si>
  <si>
    <t>Mixed Use Developments</t>
  </si>
  <si>
    <t>Energy Use Intensity Limits</t>
  </si>
  <si>
    <t>SU8</t>
  </si>
  <si>
    <t>SU7</t>
  </si>
  <si>
    <t>SU6</t>
  </si>
  <si>
    <t>SU5</t>
  </si>
  <si>
    <t>SU4</t>
  </si>
  <si>
    <t>SU3</t>
  </si>
  <si>
    <t>SU2</t>
  </si>
  <si>
    <t>SU1</t>
  </si>
  <si>
    <t>Single Use Developments</t>
  </si>
  <si>
    <t>J:\J6767\37 EUI Targets and MF Case Studies\Calcs</t>
  </si>
  <si>
    <t>Working version saved at</t>
  </si>
  <si>
    <t>https://www.nzcbuildings.co.uk/pilotversion</t>
  </si>
  <si>
    <t xml:space="preserve">The data sources and further information on applications can be found at </t>
  </si>
  <si>
    <t>Password to unprotect "MXF2024"</t>
  </si>
  <si>
    <t>Some areas of the sheet are protected from editing</t>
  </si>
  <si>
    <t xml:space="preserve">The sheet can be adapted for other combinations if needed. </t>
  </si>
  <si>
    <t>The mixed use development types can each have upto 6 different use types.</t>
  </si>
  <si>
    <t xml:space="preserve">and 5 mixed use development types. </t>
  </si>
  <si>
    <t xml:space="preserve">This version is set up to look up and report upto 8 single use development types. </t>
  </si>
  <si>
    <t>edit blue cells</t>
  </si>
  <si>
    <t>In general, users should only need to . . .</t>
  </si>
  <si>
    <t>Retrofit Step by Step targets will be included in later versions</t>
  </si>
  <si>
    <t xml:space="preserve">New Build and Retrofit in One Go target types are included. </t>
  </si>
  <si>
    <t>and also mixed use developments using a floor area weighted average approach</t>
  </si>
  <si>
    <t xml:space="preserve">The tool allows look up and return of targets for single use developments </t>
  </si>
  <si>
    <t>UK Net Zero Carbon Building Standard Pilot Version (Sept 2024)</t>
  </si>
  <si>
    <t xml:space="preserve">This sheet looks up and returns operational energy targets published in the </t>
  </si>
  <si>
    <t>Introduction</t>
  </si>
  <si>
    <t>H Pochee</t>
  </si>
  <si>
    <t xml:space="preserve">Data from </t>
  </si>
  <si>
    <t>02.10.2024</t>
  </si>
  <si>
    <t>MF UK NZC BS Operational Energy Targets Tool</t>
  </si>
  <si>
    <t xml:space="preserve">Multi drop down list with option for 3 user defined 
K41 is a prototype of how this might look 
</t>
  </si>
  <si>
    <t>USER DEFINED TYPES</t>
  </si>
  <si>
    <t>User defined 1: Community Building</t>
  </si>
  <si>
    <t>User defined 3: TBC</t>
  </si>
  <si>
    <t>User defined 2: Car Workshop</t>
  </si>
  <si>
    <t>Custom User Defined Types and Targets</t>
  </si>
  <si>
    <t xml:space="preserve">NB_Homes - Flats , User defined 1: Community Building, NB_School - Early years </t>
  </si>
  <si>
    <t>03.10.24</t>
  </si>
  <si>
    <t>Have replaced the building types list, with a newer version that incorpotates the calculator for setting up mixed use development types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</si>
</sst>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4" x14ac:knownFonts="1">
    <font>
      <sz val="11"/>
      <color theme="1"/>
      <name val="Calibri"/>
      <family val="2"/>
      <scheme val="minor"/>
    </font>
    <font>
      <b/>
      <sz val="11"/>
      <color theme="1"/>
      <name val="Calibri"/>
      <family val="2"/>
      <scheme val="minor"/>
    </font>
    <font>
      <b/>
      <sz val="24"/>
      <color theme="1"/>
      <name val="Calibri"/>
      <family val="2"/>
      <scheme val="minor"/>
    </font>
    <font>
      <sz val="14"/>
      <color theme="1"/>
      <name val="Calibri"/>
      <family val="2"/>
      <scheme val="minor"/>
    </font>
    <font>
      <b/>
      <sz val="14"/>
      <color theme="0"/>
      <name val="Calibri"/>
      <family val="2"/>
      <scheme val="minor"/>
    </font>
    <font>
      <b/>
      <sz val="11"/>
      <color rgb="FF000000"/>
      <name val="Calibri"/>
      <family val="2"/>
      <scheme val="minor"/>
    </font>
    <font>
      <b/>
      <vertAlign val="superscript"/>
      <sz val="11"/>
      <color rgb="FF7F7F7F"/>
      <name val="Calibri"/>
      <family val="2"/>
      <scheme val="minor"/>
    </font>
    <font>
      <b/>
      <sz val="11"/>
      <color rgb="FF7F7F7F"/>
      <name val="Calibri"/>
      <family val="2"/>
      <scheme val="minor"/>
    </font>
    <font>
      <sz val="11"/>
      <color rgb="FFFF0000"/>
      <name val="Calibri"/>
      <family val="2"/>
      <scheme val="minor"/>
    </font>
    <font>
      <sz val="11"/>
      <color theme="1"/>
      <name val="Calibri"/>
      <family val="2"/>
    </font>
    <font>
      <b/>
      <sz val="14"/>
      <color theme="1"/>
      <name val="Calibri"/>
      <family val="2"/>
      <scheme val="minor"/>
    </font>
    <font>
      <b/>
      <sz val="18"/>
      <color theme="1"/>
      <name val="Calibri"/>
      <family val="2"/>
      <scheme val="minor"/>
    </font>
    <font>
      <u/>
      <sz val="11"/>
      <color theme="10"/>
      <name val="Calibri"/>
      <family val="2"/>
      <scheme val="minor"/>
    </font>
    <font>
      <u/>
      <sz val="11"/>
      <color rgb="FFFF0000"/>
      <name val="Calibri"/>
      <family val="2"/>
      <scheme val="minor"/>
    </font>
    <font>
      <sz val="11"/>
      <name val="Calibri"/>
      <family val="2"/>
      <scheme val="minor"/>
    </font>
    <font>
      <b/>
      <sz val="11"/>
      <name val="Calibri"/>
      <family val="2"/>
      <scheme val="minor"/>
    </font>
    <font>
      <sz val="11"/>
      <name val="Calibri"/>
      <family val="2"/>
    </font>
    <font>
      <sz val="8"/>
      <name val="Calibri"/>
      <family val="2"/>
      <scheme val="minor"/>
    </font>
    <font>
      <sz val="9.9"/>
      <name val="Calibri"/>
      <family val="2"/>
    </font>
    <font>
      <sz val="9.9"/>
      <color theme="1"/>
      <name val="Calibri"/>
      <family val="2"/>
    </font>
    <font>
      <sz val="9"/>
      <color indexed="81"/>
      <name val="Tahoma"/>
      <family val="2"/>
    </font>
    <font>
      <b/>
      <sz val="9"/>
      <color indexed="81"/>
      <name val="Tahoma"/>
      <family val="2"/>
    </font>
    <font>
      <sz val="11"/>
      <color theme="5" tint="-0.249977111117893"/>
      <name val="Calibri"/>
      <family val="2"/>
      <scheme val="minor"/>
    </font>
    <font>
      <sz val="11"/>
      <color theme="1"/>
      <name val="Calibri"/>
      <family val="2"/>
      <scheme val="minor"/>
    </font>
    <font>
      <sz val="11"/>
      <color rgb="FF000000"/>
      <name val="Calibri"/>
      <family val="2"/>
    </font>
    <font>
      <sz val="11"/>
      <color theme="0" tint="-0.34998626667073579"/>
      <name val="Calibri"/>
      <family val="2"/>
    </font>
    <font>
      <b/>
      <sz val="11"/>
      <color theme="0" tint="-0.34998626667073579"/>
      <name val="Calibri"/>
      <family val="2"/>
    </font>
    <font>
      <b/>
      <sz val="11"/>
      <color rgb="FF000000"/>
      <name val="Calibri"/>
      <family val="2"/>
    </font>
    <font>
      <b/>
      <sz val="12"/>
      <color rgb="FF000000"/>
      <name val="Calibri"/>
      <family val="2"/>
    </font>
    <font>
      <i/>
      <sz val="11"/>
      <color rgb="FF000000"/>
      <name val="Calibri"/>
      <family val="2"/>
    </font>
    <font>
      <sz val="11"/>
      <color theme="3"/>
      <name val="Calibri"/>
      <family val="2"/>
    </font>
    <font>
      <b/>
      <sz val="14"/>
      <color rgb="FF000000"/>
      <name val="Calibri"/>
      <family val="2"/>
    </font>
    <font>
      <b/>
      <sz val="16"/>
      <color rgb="FF000000"/>
      <name val="Calibri"/>
      <family val="2"/>
    </font>
    <font>
      <b/>
      <sz val="18"/>
      <color rgb="FF000000"/>
      <name val="Calibri"/>
      <family val="2"/>
    </font>
  </fonts>
  <fills count="17">
    <fill>
      <patternFill patternType="none"/>
    </fill>
    <fill>
      <patternFill patternType="gray125"/>
    </fill>
    <fill>
      <patternFill patternType="solid">
        <fgColor theme="9" tint="0.79998168889431442"/>
        <bgColor indexed="64"/>
      </patternFill>
    </fill>
    <fill>
      <patternFill patternType="solid">
        <fgColor theme="8"/>
        <bgColor indexed="64"/>
      </patternFill>
    </fill>
    <fill>
      <patternFill patternType="solid">
        <fgColor theme="6"/>
        <bgColor indexed="64"/>
      </patternFill>
    </fill>
    <fill>
      <patternFill patternType="solid">
        <fgColor theme="7"/>
        <bgColor indexed="64"/>
      </patternFill>
    </fill>
    <fill>
      <patternFill patternType="solid">
        <fgColor theme="5"/>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rgb="FFFAC8AA"/>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tint="-0.249977111117893"/>
        <bgColor indexed="64"/>
      </patternFill>
    </fill>
  </fills>
  <borders count="4">
    <border>
      <left/>
      <right/>
      <top/>
      <bottom/>
      <diagonal/>
    </border>
    <border>
      <left style="thin">
        <color theme="0"/>
      </left>
      <right/>
      <top/>
      <bottom/>
      <diagonal/>
    </border>
    <border>
      <left/>
      <right style="thin">
        <color theme="0"/>
      </right>
      <top/>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12" fillId="0" borderId="0" applyNumberFormat="0" applyFill="0" applyBorder="0" applyAlignment="0" applyProtection="0"/>
    <xf numFmtId="9" fontId="23" fillId="0" borderId="0" applyFont="0" applyFill="0" applyBorder="0" applyAlignment="0" applyProtection="0"/>
    <xf numFmtId="0" fontId="24" fillId="0" borderId="0"/>
  </cellStyleXfs>
  <cellXfs count="91">
    <xf numFmtId="0" fontId="0" fillId="0" borderId="0" xfId="0"/>
    <xf numFmtId="0" fontId="0" fillId="0" borderId="0" xfId="0" applyAlignment="1">
      <alignment horizontal="left" vertical="top" wrapText="1"/>
    </xf>
    <xf numFmtId="0" fontId="3" fillId="3" borderId="0" xfId="0" applyFont="1" applyFill="1" applyAlignment="1">
      <alignment horizontal="left" vertical="top" wrapText="1"/>
    </xf>
    <xf numFmtId="0" fontId="3" fillId="0" borderId="0" xfId="0" applyFont="1" applyAlignment="1">
      <alignment horizontal="left" vertical="top" wrapText="1"/>
    </xf>
    <xf numFmtId="0" fontId="3" fillId="4" borderId="1" xfId="0" applyFont="1" applyFill="1" applyBorder="1" applyAlignment="1">
      <alignment horizontal="left" vertical="top" wrapText="1"/>
    </xf>
    <xf numFmtId="0" fontId="3" fillId="5" borderId="0" xfId="0" applyFont="1" applyFill="1" applyAlignment="1">
      <alignment horizontal="left" vertical="top" wrapText="1"/>
    </xf>
    <xf numFmtId="0" fontId="3" fillId="6" borderId="2" xfId="0" applyFont="1" applyFill="1" applyBorder="1" applyAlignment="1">
      <alignment horizontal="left" vertical="top" wrapText="1"/>
    </xf>
    <xf numFmtId="0" fontId="1" fillId="0" borderId="0" xfId="0" applyFont="1" applyAlignment="1">
      <alignment horizontal="left" vertical="top" wrapText="1"/>
    </xf>
    <xf numFmtId="0" fontId="5" fillId="0" borderId="0" xfId="0" applyFont="1" applyAlignment="1">
      <alignment horizontal="left" vertical="top" wrapText="1" readingOrder="1"/>
    </xf>
    <xf numFmtId="0" fontId="0" fillId="7" borderId="0" xfId="0" applyFill="1" applyAlignment="1">
      <alignment horizontal="left" vertical="top" wrapText="1"/>
    </xf>
    <xf numFmtId="0" fontId="0" fillId="8" borderId="0" xfId="0" applyFill="1" applyAlignment="1">
      <alignment horizontal="left" vertical="top" wrapText="1"/>
    </xf>
    <xf numFmtId="0" fontId="0" fillId="9" borderId="0" xfId="0" applyFill="1" applyAlignment="1">
      <alignment horizontal="left" vertical="top" wrapText="1"/>
    </xf>
    <xf numFmtId="0" fontId="0"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left" vertical="top"/>
    </xf>
    <xf numFmtId="0" fontId="10" fillId="0" borderId="0" xfId="0" applyFont="1" applyAlignment="1">
      <alignment horizontal="left" vertical="top" wrapText="1"/>
    </xf>
    <xf numFmtId="0" fontId="3" fillId="7" borderId="0" xfId="0" applyFont="1" applyFill="1" applyBorder="1" applyAlignment="1">
      <alignment horizontal="left" vertical="top" wrapText="1"/>
    </xf>
    <xf numFmtId="0" fontId="3" fillId="8" borderId="0" xfId="0" applyFont="1" applyFill="1" applyAlignment="1">
      <alignment horizontal="left" vertical="top" wrapText="1"/>
    </xf>
    <xf numFmtId="0" fontId="3" fillId="9" borderId="0" xfId="0" applyFont="1" applyFill="1" applyBorder="1" applyAlignment="1">
      <alignment horizontal="left" vertical="top" wrapText="1"/>
    </xf>
    <xf numFmtId="0" fontId="10" fillId="0" borderId="0" xfId="0" applyFont="1" applyBorder="1" applyAlignment="1">
      <alignment horizontal="left" vertical="top"/>
    </xf>
    <xf numFmtId="0" fontId="0" fillId="0" borderId="0" xfId="0" applyBorder="1" applyAlignment="1">
      <alignment horizontal="left" vertical="top"/>
    </xf>
    <xf numFmtId="0" fontId="1" fillId="0" borderId="0" xfId="0" applyFont="1" applyBorder="1" applyAlignment="1">
      <alignment horizontal="left" vertical="top"/>
    </xf>
    <xf numFmtId="0" fontId="0" fillId="0" borderId="0" xfId="0" applyBorder="1" applyAlignment="1">
      <alignment horizontal="left" vertical="top" wrapText="1"/>
    </xf>
    <xf numFmtId="0" fontId="1" fillId="0" borderId="0" xfId="0" applyFont="1" applyBorder="1" applyAlignment="1">
      <alignment horizontal="left" vertical="top" wrapText="1"/>
    </xf>
    <xf numFmtId="0" fontId="0" fillId="2" borderId="0" xfId="0" applyFill="1" applyBorder="1" applyAlignment="1">
      <alignment horizontal="left" vertical="top" wrapText="1"/>
    </xf>
    <xf numFmtId="0" fontId="0" fillId="0" borderId="0" xfId="0" applyFont="1" applyBorder="1" applyAlignment="1">
      <alignment horizontal="left" vertical="top" wrapText="1"/>
    </xf>
    <xf numFmtId="0" fontId="0" fillId="9" borderId="0" xfId="0" applyFill="1" applyBorder="1" applyAlignment="1">
      <alignment horizontal="left" vertical="top" wrapText="1"/>
    </xf>
    <xf numFmtId="0" fontId="11" fillId="0" borderId="0" xfId="0" applyFont="1" applyBorder="1" applyAlignment="1">
      <alignment horizontal="left" vertical="top"/>
    </xf>
    <xf numFmtId="0" fontId="10" fillId="0" borderId="0" xfId="0" applyFont="1" applyFill="1" applyBorder="1" applyAlignment="1">
      <alignment horizontal="left" vertical="top"/>
    </xf>
    <xf numFmtId="0" fontId="0" fillId="0" borderId="0" xfId="0" applyFill="1" applyBorder="1" applyAlignment="1">
      <alignment horizontal="left" vertical="top" wrapText="1"/>
    </xf>
    <xf numFmtId="0" fontId="0" fillId="0" borderId="0" xfId="0" applyFill="1" applyBorder="1" applyAlignment="1">
      <alignment horizontal="left" vertical="top"/>
    </xf>
    <xf numFmtId="0" fontId="8" fillId="0" borderId="0" xfId="0" applyFont="1" applyBorder="1" applyAlignment="1">
      <alignment horizontal="left" vertical="top" wrapText="1"/>
    </xf>
    <xf numFmtId="0" fontId="12" fillId="0" borderId="0" xfId="1" applyBorder="1" applyAlignment="1">
      <alignment horizontal="left" vertical="top" wrapText="1"/>
    </xf>
    <xf numFmtId="0" fontId="0" fillId="9" borderId="0" xfId="0" applyFill="1" applyBorder="1" applyAlignment="1">
      <alignment horizontal="left" vertical="top"/>
    </xf>
    <xf numFmtId="0" fontId="14" fillId="0" borderId="0" xfId="0" applyFont="1" applyBorder="1" applyAlignment="1">
      <alignment horizontal="left" vertical="top" wrapText="1"/>
    </xf>
    <xf numFmtId="0" fontId="1" fillId="0" borderId="0" xfId="0" applyFont="1" applyFill="1" applyBorder="1" applyAlignment="1">
      <alignment horizontal="left" vertical="top" wrapText="1"/>
    </xf>
    <xf numFmtId="0" fontId="0" fillId="9" borderId="0" xfId="0" applyFont="1" applyFill="1" applyBorder="1" applyAlignment="1">
      <alignment horizontal="left" vertical="top" wrapText="1"/>
    </xf>
    <xf numFmtId="0" fontId="14" fillId="9" borderId="0" xfId="0" applyFont="1" applyFill="1" applyBorder="1" applyAlignment="1">
      <alignment horizontal="left" vertical="top" wrapText="1"/>
    </xf>
    <xf numFmtId="0" fontId="8" fillId="0" borderId="0" xfId="0" applyFont="1" applyFill="1" applyBorder="1" applyAlignment="1">
      <alignment horizontal="left" vertical="top" wrapText="1"/>
    </xf>
    <xf numFmtId="0" fontId="0" fillId="0" borderId="0" xfId="0" applyAlignment="1">
      <alignment wrapText="1"/>
    </xf>
    <xf numFmtId="0" fontId="8" fillId="0" borderId="0" xfId="0" applyFont="1" applyBorder="1" applyAlignment="1">
      <alignment horizontal="left" vertical="top"/>
    </xf>
    <xf numFmtId="0" fontId="1" fillId="0" borderId="0" xfId="0" applyFont="1" applyAlignment="1">
      <alignment horizontal="left" vertical="top"/>
    </xf>
    <xf numFmtId="0" fontId="12" fillId="0" borderId="0" xfId="1" applyAlignment="1">
      <alignment horizontal="left" vertical="top"/>
    </xf>
    <xf numFmtId="0" fontId="0" fillId="10" borderId="0" xfId="0" applyFill="1" applyAlignment="1">
      <alignment horizontal="left" vertical="top"/>
    </xf>
    <xf numFmtId="164" fontId="0" fillId="0" borderId="0" xfId="0" applyNumberFormat="1" applyAlignment="1">
      <alignment horizontal="left" vertical="top"/>
    </xf>
    <xf numFmtId="0" fontId="0" fillId="11" borderId="0" xfId="0" applyFill="1" applyBorder="1" applyAlignment="1">
      <alignment horizontal="left" vertical="top" wrapText="1"/>
    </xf>
    <xf numFmtId="0" fontId="1" fillId="0" borderId="0" xfId="0" applyFont="1"/>
    <xf numFmtId="0" fontId="0" fillId="7" borderId="0" xfId="0" applyFill="1" applyBorder="1" applyAlignment="1">
      <alignment horizontal="left" vertical="top" wrapText="1"/>
    </xf>
    <xf numFmtId="0" fontId="22" fillId="0" borderId="0" xfId="0" applyFont="1" applyBorder="1" applyAlignment="1">
      <alignment horizontal="left" vertical="top"/>
    </xf>
    <xf numFmtId="0" fontId="22" fillId="0" borderId="0" xfId="0" applyFont="1" applyBorder="1" applyAlignment="1">
      <alignment horizontal="left" vertical="top" wrapText="1"/>
    </xf>
    <xf numFmtId="0" fontId="24" fillId="0" borderId="0" xfId="3" applyAlignment="1">
      <alignment horizontal="left" vertical="top"/>
    </xf>
    <xf numFmtId="0" fontId="24" fillId="0" borderId="0" xfId="3" applyAlignment="1">
      <alignment horizontal="left" vertical="top" wrapText="1"/>
    </xf>
    <xf numFmtId="1" fontId="25" fillId="0" borderId="3" xfId="3" applyNumberFormat="1" applyFont="1" applyBorder="1" applyAlignment="1">
      <alignment horizontal="left" vertical="top" wrapText="1"/>
    </xf>
    <xf numFmtId="0" fontId="26" fillId="0" borderId="3" xfId="3" applyFont="1" applyBorder="1" applyAlignment="1">
      <alignment horizontal="left" vertical="top" wrapText="1"/>
    </xf>
    <xf numFmtId="0" fontId="25" fillId="0" borderId="3" xfId="3" applyFont="1" applyBorder="1" applyAlignment="1">
      <alignment horizontal="left" vertical="top" wrapText="1"/>
    </xf>
    <xf numFmtId="0" fontId="24" fillId="0" borderId="3" xfId="3" applyBorder="1" applyAlignment="1">
      <alignment horizontal="left" vertical="top" wrapText="1"/>
    </xf>
    <xf numFmtId="0" fontId="27" fillId="0" borderId="3" xfId="3" applyFont="1" applyBorder="1" applyAlignment="1">
      <alignment horizontal="left" vertical="top" wrapText="1"/>
    </xf>
    <xf numFmtId="0" fontId="24" fillId="0" borderId="3" xfId="3" applyBorder="1" applyAlignment="1">
      <alignment horizontal="left" vertical="top"/>
    </xf>
    <xf numFmtId="1" fontId="24" fillId="0" borderId="3" xfId="3" applyNumberFormat="1" applyBorder="1" applyAlignment="1">
      <alignment horizontal="left" vertical="top"/>
    </xf>
    <xf numFmtId="9" fontId="24" fillId="0" borderId="3" xfId="2" applyFont="1" applyBorder="1" applyAlignment="1">
      <alignment horizontal="left" vertical="top"/>
    </xf>
    <xf numFmtId="9" fontId="24" fillId="10" borderId="3" xfId="3" applyNumberFormat="1" applyFill="1" applyBorder="1" applyAlignment="1" applyProtection="1">
      <alignment horizontal="left" vertical="top"/>
      <protection locked="0"/>
    </xf>
    <xf numFmtId="0" fontId="24" fillId="10" borderId="3" xfId="3" applyFill="1" applyBorder="1" applyAlignment="1" applyProtection="1">
      <alignment horizontal="left" vertical="top" wrapText="1"/>
      <protection locked="0"/>
    </xf>
    <xf numFmtId="0" fontId="27" fillId="10" borderId="3" xfId="3" applyFont="1" applyFill="1" applyBorder="1" applyAlignment="1" applyProtection="1">
      <alignment horizontal="left" vertical="top" wrapText="1"/>
      <protection locked="0"/>
    </xf>
    <xf numFmtId="0" fontId="27" fillId="0" borderId="0" xfId="3" applyFont="1" applyAlignment="1">
      <alignment horizontal="left" vertical="top" wrapText="1"/>
    </xf>
    <xf numFmtId="0" fontId="27" fillId="0" borderId="0" xfId="3" applyFont="1" applyAlignment="1">
      <alignment horizontal="left" vertical="top"/>
    </xf>
    <xf numFmtId="9" fontId="30" fillId="0" borderId="0" xfId="2" applyFont="1" applyAlignment="1">
      <alignment horizontal="left" vertical="top" wrapText="1"/>
    </xf>
    <xf numFmtId="0" fontId="30" fillId="0" borderId="0" xfId="3" applyFont="1" applyAlignment="1">
      <alignment horizontal="left" vertical="top" wrapText="1"/>
    </xf>
    <xf numFmtId="0" fontId="30" fillId="0" borderId="0" xfId="3" applyFont="1" applyAlignment="1">
      <alignment horizontal="left" vertical="top"/>
    </xf>
    <xf numFmtId="1" fontId="30" fillId="0" borderId="0" xfId="3" applyNumberFormat="1" applyFont="1" applyAlignment="1">
      <alignment horizontal="left" vertical="top" wrapText="1"/>
    </xf>
    <xf numFmtId="1" fontId="30" fillId="0" borderId="0" xfId="3" applyNumberFormat="1" applyFont="1" applyAlignment="1">
      <alignment horizontal="left" vertical="top"/>
    </xf>
    <xf numFmtId="0" fontId="30" fillId="11" borderId="0" xfId="3" applyFont="1" applyFill="1" applyAlignment="1">
      <alignment horizontal="left" vertical="top"/>
    </xf>
    <xf numFmtId="0" fontId="30" fillId="11" borderId="0" xfId="3" applyFont="1" applyFill="1" applyAlignment="1">
      <alignment horizontal="left" vertical="top" wrapText="1"/>
    </xf>
    <xf numFmtId="1" fontId="24" fillId="0" borderId="3" xfId="3" applyNumberFormat="1" applyBorder="1" applyAlignment="1">
      <alignment horizontal="left" vertical="top" wrapText="1"/>
    </xf>
    <xf numFmtId="0" fontId="24" fillId="12" borderId="0" xfId="3" applyFill="1" applyAlignment="1">
      <alignment horizontal="left" vertical="top" wrapText="1"/>
    </xf>
    <xf numFmtId="0" fontId="24" fillId="13" borderId="0" xfId="3" applyFill="1" applyAlignment="1">
      <alignment horizontal="left" vertical="top" wrapText="1"/>
    </xf>
    <xf numFmtId="0" fontId="24" fillId="14" borderId="0" xfId="3" applyFill="1" applyAlignment="1">
      <alignment horizontal="left" vertical="top" wrapText="1"/>
    </xf>
    <xf numFmtId="0" fontId="24" fillId="15" borderId="0" xfId="3" applyFill="1" applyAlignment="1">
      <alignment horizontal="left" vertical="top" wrapText="1"/>
    </xf>
    <xf numFmtId="0" fontId="24" fillId="16" borderId="0" xfId="3" applyFill="1" applyAlignment="1">
      <alignment horizontal="left" vertical="top" wrapText="1"/>
    </xf>
    <xf numFmtId="0" fontId="27" fillId="16" borderId="0" xfId="3" applyFont="1" applyFill="1" applyAlignment="1">
      <alignment horizontal="left" vertical="top" wrapText="1"/>
    </xf>
    <xf numFmtId="0" fontId="27" fillId="15" borderId="0" xfId="3" applyFont="1" applyFill="1" applyAlignment="1">
      <alignment horizontal="left" vertical="top" wrapText="1"/>
    </xf>
    <xf numFmtId="0" fontId="31" fillId="0" borderId="0" xfId="3" applyFont="1" applyAlignment="1">
      <alignment horizontal="left" vertical="top"/>
    </xf>
    <xf numFmtId="0" fontId="32" fillId="0" borderId="0" xfId="3" applyFont="1" applyAlignment="1">
      <alignment horizontal="left" vertical="top"/>
    </xf>
    <xf numFmtId="0" fontId="27" fillId="0" borderId="3" xfId="3" applyFont="1" applyBorder="1" applyAlignment="1">
      <alignment horizontal="left" vertical="top"/>
    </xf>
    <xf numFmtId="0" fontId="24" fillId="10" borderId="0" xfId="3" applyFill="1" applyAlignment="1">
      <alignment horizontal="left" vertical="top"/>
    </xf>
    <xf numFmtId="0" fontId="33" fillId="0" borderId="0" xfId="3" applyFont="1" applyAlignment="1">
      <alignment horizontal="left" vertical="top"/>
    </xf>
    <xf numFmtId="0" fontId="27" fillId="10" borderId="0" xfId="3" applyFont="1" applyFill="1" applyAlignment="1">
      <alignment horizontal="left" vertical="top" wrapText="1"/>
    </xf>
    <xf numFmtId="0" fontId="28" fillId="0" borderId="3" xfId="3" applyFont="1" applyBorder="1" applyAlignment="1">
      <alignment horizontal="center" vertical="center"/>
    </xf>
    <xf numFmtId="0" fontId="25" fillId="0" borderId="3" xfId="3" applyFont="1" applyBorder="1" applyAlignment="1">
      <alignment horizontal="center" vertical="center" wrapText="1"/>
    </xf>
    <xf numFmtId="0" fontId="4" fillId="3" borderId="1" xfId="0" applyFont="1" applyFill="1" applyBorder="1" applyAlignment="1">
      <alignment horizontal="left" vertical="top" wrapText="1"/>
    </xf>
    <xf numFmtId="0" fontId="4" fillId="3" borderId="0" xfId="0" applyFont="1" applyFill="1" applyAlignment="1">
      <alignment horizontal="left" vertical="top" wrapText="1"/>
    </xf>
    <xf numFmtId="0" fontId="4" fillId="3" borderId="2" xfId="0" applyFont="1" applyFill="1" applyBorder="1" applyAlignment="1">
      <alignment horizontal="left" vertical="top" wrapText="1"/>
    </xf>
  </cellXfs>
  <cellStyles count="4">
    <cellStyle name="Hyperlink" xfId="1" builtinId="8"/>
    <cellStyle name="Normal" xfId="0" builtinId="0"/>
    <cellStyle name="Normal 2" xfId="3" xr:uid="{2CFF15E0-342F-46C6-A137-7C153D19392C}"/>
    <cellStyle name="Percent" xfId="2" builtinId="5"/>
  </cellStyles>
  <dxfs count="38">
    <dxf>
      <alignment horizontal="left" vertical="top" textRotation="0" wrapText="1" indent="0" justifyLastLine="0" shrinkToFit="0"/>
    </dxf>
    <dxf>
      <alignment horizontal="left" vertical="top" textRotation="0" wrapText="1" indent="0" justifyLastLine="0" shrinkToFit="0" readingOrder="0"/>
    </dxf>
    <dxf>
      <alignment horizontal="left" vertical="top" textRotation="0" wrapText="1" indent="0" justifyLastLine="0" shrinkToFit="0"/>
    </dxf>
    <dxf>
      <alignment horizontal="left" vertical="top" textRotation="0" wrapText="1" indent="0" justifyLastLine="0" shrinkToFit="0"/>
    </dxf>
    <dxf>
      <fill>
        <patternFill patternType="solid">
          <fgColor indexed="64"/>
          <bgColor theme="5" tint="0.79998168889431442"/>
        </patternFill>
      </fill>
      <alignment horizontal="left" vertical="top" textRotation="0" wrapText="1" indent="0" justifyLastLine="0" shrinkToFit="0" readingOrder="0"/>
    </dxf>
    <dxf>
      <fill>
        <patternFill patternType="solid">
          <fgColor indexed="64"/>
          <bgColor theme="7" tint="0.79998168889431442"/>
        </patternFill>
      </fill>
      <alignment horizontal="left" vertical="top" textRotation="0" wrapText="1" indent="0" justifyLastLine="0" shrinkToFit="0" readingOrder="0"/>
    </dxf>
    <dxf>
      <fill>
        <patternFill patternType="solid">
          <fgColor indexed="64"/>
          <bgColor theme="6" tint="0.79998168889431442"/>
        </patternFill>
      </fill>
      <alignment horizontal="left" vertical="top" textRotation="0" wrapText="1" indent="0" justifyLastLine="0" shrinkToFit="0"/>
    </dxf>
    <dxf>
      <font>
        <b/>
      </font>
      <alignment horizontal="left" vertical="top" textRotation="0" wrapText="1" indent="0" justifyLastLine="0" shrinkToFit="0" readingOrder="0"/>
    </dxf>
    <dxf>
      <alignment horizontal="left" vertical="top" textRotation="0" wrapText="1" indent="0" justifyLastLine="0" shrinkToFit="0"/>
    </dxf>
    <dxf>
      <font>
        <b/>
        <i val="0"/>
        <strike val="0"/>
        <condense val="0"/>
        <extend val="0"/>
        <outline val="0"/>
        <shadow val="0"/>
        <u val="none"/>
        <vertAlign val="baseline"/>
        <sz val="11"/>
        <color rgb="FF000000"/>
        <name val="Calibri"/>
        <family val="2"/>
        <scheme val="minor"/>
      </font>
      <alignment horizontal="left" vertical="top" textRotation="0" wrapText="1" indent="0" justifyLastLine="0" shrinkToFit="0" readingOrder="1"/>
    </dxf>
    <dxf>
      <font>
        <b/>
      </font>
      <alignment horizontal="left" vertical="top" textRotation="0" wrapText="1" indent="0" justifyLastLine="0" shrinkToFit="0" readingOrder="0"/>
    </dxf>
    <dxf>
      <alignment horizontal="left" vertical="top" textRotation="0" wrapText="1" indent="0" justifyLastLine="0" shrinkToFit="0"/>
    </dxf>
    <dxf>
      <font>
        <strike val="0"/>
        <outline val="0"/>
        <shadow val="0"/>
        <u val="none"/>
        <vertAlign val="baseline"/>
        <sz val="14"/>
        <name val="Calibri"/>
        <family val="2"/>
        <scheme val="minor"/>
      </font>
      <alignment horizontal="left" vertical="top" textRotation="0" wrapText="1" indent="0" justifyLastLine="0" shrinkToFit="0" readingOrder="0"/>
    </dxf>
    <dxf>
      <fill>
        <patternFill>
          <bgColor theme="9"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9"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9"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9" tint="0.59996337778862885"/>
        </patternFill>
      </fill>
    </dxf>
    <dxf>
      <fill>
        <patternFill>
          <bgColor theme="9"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5</xdr:col>
      <xdr:colOff>676611</xdr:colOff>
      <xdr:row>2</xdr:row>
      <xdr:rowOff>17009</xdr:rowOff>
    </xdr:from>
    <xdr:to>
      <xdr:col>20</xdr:col>
      <xdr:colOff>557894</xdr:colOff>
      <xdr:row>36</xdr:row>
      <xdr:rowOff>133978</xdr:rowOff>
    </xdr:to>
    <xdr:grpSp>
      <xdr:nvGrpSpPr>
        <xdr:cNvPr id="2" name="Group 1">
          <a:extLst>
            <a:ext uri="{FF2B5EF4-FFF2-40B4-BE49-F238E27FC236}">
              <a16:creationId xmlns:a16="http://schemas.microsoft.com/office/drawing/2014/main" id="{DB016D80-EC29-450B-8497-7B49959B6C32}"/>
            </a:ext>
          </a:extLst>
        </xdr:cNvPr>
        <xdr:cNvGrpSpPr/>
      </xdr:nvGrpSpPr>
      <xdr:grpSpPr>
        <a:xfrm>
          <a:off x="7153611" y="506866"/>
          <a:ext cx="13991890" cy="6675612"/>
          <a:chOff x="3452468" y="506866"/>
          <a:chExt cx="13991890" cy="6593969"/>
        </a:xfrm>
      </xdr:grpSpPr>
      <xdr:pic>
        <xdr:nvPicPr>
          <xdr:cNvPr id="3" name="Picture 2">
            <a:extLst>
              <a:ext uri="{FF2B5EF4-FFF2-40B4-BE49-F238E27FC236}">
                <a16:creationId xmlns:a16="http://schemas.microsoft.com/office/drawing/2014/main" id="{6957E71D-CA74-2881-94D9-435F15B64150}"/>
              </a:ext>
            </a:extLst>
          </xdr:cNvPr>
          <xdr:cNvPicPr>
            <a:picLocks noChangeAspect="1"/>
          </xdr:cNvPicPr>
        </xdr:nvPicPr>
        <xdr:blipFill>
          <a:blip xmlns:r="http://schemas.openxmlformats.org/officeDocument/2006/relationships" r:embed="rId1"/>
          <a:stretch>
            <a:fillRect/>
          </a:stretch>
        </xdr:blipFill>
        <xdr:spPr>
          <a:xfrm>
            <a:off x="3452468" y="671286"/>
            <a:ext cx="4280716" cy="6105071"/>
          </a:xfrm>
          <a:prstGeom prst="rect">
            <a:avLst/>
          </a:prstGeom>
        </xdr:spPr>
      </xdr:pic>
      <xdr:pic>
        <xdr:nvPicPr>
          <xdr:cNvPr id="4" name="Picture 3">
            <a:extLst>
              <a:ext uri="{FF2B5EF4-FFF2-40B4-BE49-F238E27FC236}">
                <a16:creationId xmlns:a16="http://schemas.microsoft.com/office/drawing/2014/main" id="{37E9C0BA-24AD-B481-928E-E0FB009E476F}"/>
              </a:ext>
            </a:extLst>
          </xdr:cNvPr>
          <xdr:cNvPicPr>
            <a:picLocks noChangeAspect="1"/>
          </xdr:cNvPicPr>
        </xdr:nvPicPr>
        <xdr:blipFill>
          <a:blip xmlns:r="http://schemas.openxmlformats.org/officeDocument/2006/relationships" r:embed="rId2"/>
          <a:stretch>
            <a:fillRect/>
          </a:stretch>
        </xdr:blipFill>
        <xdr:spPr>
          <a:xfrm>
            <a:off x="8038420" y="506866"/>
            <a:ext cx="9405938" cy="6593969"/>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19</xdr:row>
      <xdr:rowOff>0</xdr:rowOff>
    </xdr:from>
    <xdr:to>
      <xdr:col>2</xdr:col>
      <xdr:colOff>4182937</xdr:colOff>
      <xdr:row>44</xdr:row>
      <xdr:rowOff>150989</xdr:rowOff>
    </xdr:to>
    <xdr:pic>
      <xdr:nvPicPr>
        <xdr:cNvPr id="2" name="Picture 1">
          <a:extLst>
            <a:ext uri="{FF2B5EF4-FFF2-40B4-BE49-F238E27FC236}">
              <a16:creationId xmlns:a16="http://schemas.microsoft.com/office/drawing/2014/main" id="{1C38E6F2-3263-40FD-92A2-9A835FDB63F9}"/>
            </a:ext>
          </a:extLst>
        </xdr:cNvPr>
        <xdr:cNvPicPr>
          <a:picLocks noChangeAspect="1"/>
        </xdr:cNvPicPr>
      </xdr:nvPicPr>
      <xdr:blipFill>
        <a:blip xmlns:r="http://schemas.openxmlformats.org/officeDocument/2006/relationships" r:embed="rId1"/>
        <a:stretch>
          <a:fillRect/>
        </a:stretch>
      </xdr:blipFill>
      <xdr:spPr>
        <a:xfrm>
          <a:off x="609600" y="4762500"/>
          <a:ext cx="6583237" cy="491348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4C7B46-CA88-4790-A976-1B6AD471149C}" name="Table1" displayName="Table1" ref="A8:K18" totalsRowShown="0" headerRowDxfId="12" dataDxfId="11">
  <autoFilter ref="A8:K18" xr:uid="{5C4C7B46-CA88-4790-A976-1B6AD471149C}"/>
  <sortState xmlns:xlrd2="http://schemas.microsoft.com/office/spreadsheetml/2017/richdata2" ref="A9:H18">
    <sortCondition ref="D8:D18"/>
  </sortState>
  <tableColumns count="11">
    <tableColumn id="1" xr3:uid="{BB44B39A-5E57-45FC-A2A1-B74B2F95BEC7}" name="No." dataDxfId="10"/>
    <tableColumn id="2" xr3:uid="{BC92860D-47CD-474C-B5B9-EB12948BF622}" name="NZC &amp; Biodiversity Metric" dataDxfId="9"/>
    <tableColumn id="3" xr3:uid="{B9BDEEAC-1A67-4E97-BFEF-B85E223B9451}" name="Theme" dataDxfId="8"/>
    <tableColumn id="8" xr3:uid="{90CF124C-900E-477A-9DC0-28E515A440F7}" name="Priority" dataDxfId="7"/>
    <tableColumn id="4" xr3:uid="{1AEE742F-FB37-442E-9A6A-6E6E1264F72B}" name="Concept Stage Check" dataDxfId="6"/>
    <tableColumn id="5" xr3:uid="{73006635-677E-4AB0-B4FB-88E10E19F66F}" name="Stage 4 Check" dataDxfId="5"/>
    <tableColumn id="6" xr3:uid="{42E7FEED-FFBC-42C9-BB1A-6DA9BA66828D}" name="In-Use" dataDxfId="4"/>
    <tableColumn id="7" xr3:uid="{B698EDDF-271B-461A-8B74-AE3CBA2051B2}" name="Challenges / Requirements" dataDxfId="3"/>
    <tableColumn id="9" xr3:uid="{8249ADE6-377E-4F50-AF07-0803CB32538C}" name="Status and Notes" dataDxfId="2"/>
    <tableColumn id="11" xr3:uid="{5442AB1D-8119-48AD-9BB7-F80E0B5598E7}" name="Further Notes as of August 2024" dataDxfId="1"/>
    <tableColumn id="10" xr3:uid="{4558BF82-E53E-4B4B-82D4-CB0623AF83B3}" name="Key questions" dataDxfId="0"/>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www.england.nhs.uk/publication/nhs-net-zero-building-standard/" TargetMode="Externa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nzcbuildings.co.uk/pilotversion"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https://www.westminster.gov.uk/media/document/retrofit-first-topic-paper" TargetMode="External"/><Relationship Id="rId2" Type="http://schemas.openxmlformats.org/officeDocument/2006/relationships/hyperlink" Target="https://www.london.gov.uk/sites/default/files/lpg_-_wlca_guidance.pdf" TargetMode="External"/><Relationship Id="rId1" Type="http://schemas.openxmlformats.org/officeDocument/2006/relationships/hyperlink" Target="https://www.leti.uk/_files/ugd/252d09_25fc266f7fe44a24b55cce95a92a3878.pdf" TargetMode="External"/><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C1374-1326-466C-968E-6AFECB99EEC2}">
  <sheetPr codeName="Sheet6"/>
  <dimension ref="A4:D13"/>
  <sheetViews>
    <sheetView workbookViewId="0">
      <selection activeCell="D26" sqref="D26"/>
    </sheetView>
  </sheetViews>
  <sheetFormatPr defaultRowHeight="15" x14ac:dyDescent="0.25"/>
  <cols>
    <col min="3" max="3" width="22.140625" customWidth="1"/>
    <col min="4" max="4" width="108" customWidth="1"/>
  </cols>
  <sheetData>
    <row r="4" spans="1:4" x14ac:dyDescent="0.25">
      <c r="A4" s="46" t="s">
        <v>282</v>
      </c>
      <c r="B4" s="46" t="s">
        <v>281</v>
      </c>
      <c r="C4" s="46" t="s">
        <v>304</v>
      </c>
      <c r="D4" s="46" t="s">
        <v>284</v>
      </c>
    </row>
    <row r="5" spans="1:4" x14ac:dyDescent="0.25">
      <c r="A5">
        <v>5</v>
      </c>
      <c r="B5" t="s">
        <v>283</v>
      </c>
      <c r="C5">
        <v>1</v>
      </c>
      <c r="D5" t="s">
        <v>287</v>
      </c>
    </row>
    <row r="6" spans="1:4" x14ac:dyDescent="0.25">
      <c r="C6">
        <v>2</v>
      </c>
      <c r="D6" t="s">
        <v>292</v>
      </c>
    </row>
    <row r="7" spans="1:4" x14ac:dyDescent="0.25">
      <c r="C7">
        <v>3</v>
      </c>
      <c r="D7" t="s">
        <v>291</v>
      </c>
    </row>
    <row r="8" spans="1:4" x14ac:dyDescent="0.25">
      <c r="C8">
        <v>4</v>
      </c>
      <c r="D8" t="s">
        <v>309</v>
      </c>
    </row>
    <row r="9" spans="1:4" x14ac:dyDescent="0.25">
      <c r="A9">
        <v>6</v>
      </c>
      <c r="B9" t="s">
        <v>305</v>
      </c>
      <c r="C9">
        <v>1</v>
      </c>
      <c r="D9" t="s">
        <v>308</v>
      </c>
    </row>
    <row r="10" spans="1:4" x14ac:dyDescent="0.25">
      <c r="C10">
        <v>2</v>
      </c>
      <c r="D10" t="s">
        <v>310</v>
      </c>
    </row>
    <row r="11" spans="1:4" x14ac:dyDescent="0.25">
      <c r="C11">
        <v>3</v>
      </c>
      <c r="D11" t="s">
        <v>311</v>
      </c>
    </row>
    <row r="12" spans="1:4" x14ac:dyDescent="0.25">
      <c r="C12">
        <v>4</v>
      </c>
      <c r="D12" t="s">
        <v>324</v>
      </c>
    </row>
    <row r="13" spans="1:4" x14ac:dyDescent="0.25">
      <c r="A13">
        <v>7</v>
      </c>
      <c r="B13" t="s">
        <v>566</v>
      </c>
      <c r="C13">
        <v>1</v>
      </c>
      <c r="D13" t="s">
        <v>567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623A8-DCCE-4B93-8F40-D27F23839284}">
  <sheetPr codeName="Sheet1"/>
  <dimension ref="A1:O116"/>
  <sheetViews>
    <sheetView topLeftCell="I25" zoomScale="90" zoomScaleNormal="90" workbookViewId="0">
      <selection activeCell="K23" sqref="K23"/>
    </sheetView>
  </sheetViews>
  <sheetFormatPr defaultColWidth="9.140625" defaultRowHeight="15" x14ac:dyDescent="0.25"/>
  <cols>
    <col min="1" max="8" width="9.5703125" style="20" customWidth="1"/>
    <col min="9" max="9" width="9.140625" style="20"/>
    <col min="10" max="10" width="54.85546875" style="20" customWidth="1"/>
    <col min="11" max="11" width="37.42578125" style="20" customWidth="1"/>
    <col min="12" max="12" width="120.42578125" style="20" customWidth="1"/>
    <col min="13" max="13" width="72.5703125" style="20" customWidth="1"/>
    <col min="14" max="14" width="9.140625" style="20"/>
    <col min="15" max="15" width="139.140625" style="20" customWidth="1"/>
    <col min="16" max="16384" width="9.140625" style="20"/>
  </cols>
  <sheetData>
    <row r="1" spans="1:13" ht="18.75" x14ac:dyDescent="0.25">
      <c r="A1" s="19" t="s">
        <v>247</v>
      </c>
    </row>
    <row r="2" spans="1:13" x14ac:dyDescent="0.25">
      <c r="A2" s="21" t="s">
        <v>276</v>
      </c>
      <c r="B2" s="21" t="s">
        <v>277</v>
      </c>
      <c r="C2" s="21" t="s">
        <v>81</v>
      </c>
    </row>
    <row r="3" spans="1:13" x14ac:dyDescent="0.25">
      <c r="L3" s="21"/>
      <c r="M3" s="21"/>
    </row>
    <row r="4" spans="1:13" s="22" customFormat="1" x14ac:dyDescent="0.25">
      <c r="M4" s="23"/>
    </row>
    <row r="5" spans="1:13" s="22" customFormat="1" ht="30" x14ac:dyDescent="0.25">
      <c r="J5" s="24" t="s">
        <v>82</v>
      </c>
      <c r="K5" s="25" t="s">
        <v>86</v>
      </c>
      <c r="M5" s="23"/>
    </row>
    <row r="6" spans="1:13" s="22" customFormat="1" x14ac:dyDescent="0.25">
      <c r="J6" s="26" t="s">
        <v>83</v>
      </c>
      <c r="K6" s="25" t="s">
        <v>94</v>
      </c>
      <c r="M6" s="23"/>
    </row>
    <row r="7" spans="1:13" s="22" customFormat="1" x14ac:dyDescent="0.25"/>
    <row r="8" spans="1:13" s="22" customFormat="1" ht="23.25" x14ac:dyDescent="0.25">
      <c r="J8" s="27" t="s">
        <v>92</v>
      </c>
    </row>
    <row r="9" spans="1:13" s="22" customFormat="1" x14ac:dyDescent="0.25">
      <c r="J9" s="23" t="s">
        <v>114</v>
      </c>
      <c r="K9" s="23" t="s">
        <v>79</v>
      </c>
      <c r="L9" s="23" t="s">
        <v>102</v>
      </c>
      <c r="M9" s="23" t="s">
        <v>80</v>
      </c>
    </row>
    <row r="10" spans="1:13" s="22" customFormat="1" x14ac:dyDescent="0.25">
      <c r="J10" s="24" t="s">
        <v>88</v>
      </c>
    </row>
    <row r="11" spans="1:13" s="22" customFormat="1" x14ac:dyDescent="0.25">
      <c r="J11" s="24" t="s">
        <v>0</v>
      </c>
    </row>
    <row r="12" spans="1:13" s="22" customFormat="1" x14ac:dyDescent="0.25">
      <c r="J12" s="24" t="s">
        <v>3</v>
      </c>
    </row>
    <row r="13" spans="1:13" s="22" customFormat="1" ht="30" x14ac:dyDescent="0.25">
      <c r="J13" s="24" t="s">
        <v>4</v>
      </c>
      <c r="M13" s="22" t="s">
        <v>111</v>
      </c>
    </row>
    <row r="14" spans="1:13" s="22" customFormat="1" ht="30" x14ac:dyDescent="0.25">
      <c r="J14" s="24" t="s">
        <v>1</v>
      </c>
      <c r="M14" s="22" t="s">
        <v>111</v>
      </c>
    </row>
    <row r="15" spans="1:13" s="22" customFormat="1" x14ac:dyDescent="0.25">
      <c r="J15" s="24" t="s">
        <v>5</v>
      </c>
    </row>
    <row r="16" spans="1:13" s="22" customFormat="1" x14ac:dyDescent="0.25">
      <c r="J16" s="24" t="s">
        <v>6</v>
      </c>
    </row>
    <row r="17" spans="10:13" s="22" customFormat="1" x14ac:dyDescent="0.25">
      <c r="J17" s="24" t="s">
        <v>7</v>
      </c>
    </row>
    <row r="18" spans="10:13" s="22" customFormat="1" ht="45" x14ac:dyDescent="0.25">
      <c r="J18" s="24" t="s">
        <v>84</v>
      </c>
      <c r="M18" s="22" t="s">
        <v>112</v>
      </c>
    </row>
    <row r="19" spans="10:13" s="22" customFormat="1" x14ac:dyDescent="0.25">
      <c r="J19" s="24" t="s">
        <v>8</v>
      </c>
    </row>
    <row r="20" spans="10:13" s="22" customFormat="1" x14ac:dyDescent="0.25">
      <c r="J20" s="24" t="s">
        <v>2</v>
      </c>
    </row>
    <row r="21" spans="10:13" s="22" customFormat="1" x14ac:dyDescent="0.25">
      <c r="J21" s="24" t="s">
        <v>9</v>
      </c>
    </row>
    <row r="22" spans="10:13" s="22" customFormat="1" x14ac:dyDescent="0.25">
      <c r="J22" s="24" t="s">
        <v>10</v>
      </c>
    </row>
    <row r="23" spans="10:13" s="22" customFormat="1" x14ac:dyDescent="0.25">
      <c r="J23" s="24" t="s">
        <v>11</v>
      </c>
    </row>
    <row r="24" spans="10:13" s="22" customFormat="1" x14ac:dyDescent="0.25">
      <c r="J24" s="24" t="s">
        <v>12</v>
      </c>
    </row>
    <row r="25" spans="10:13" s="22" customFormat="1" x14ac:dyDescent="0.25">
      <c r="J25" s="24" t="s">
        <v>13</v>
      </c>
    </row>
    <row r="26" spans="10:13" s="22" customFormat="1" ht="30" x14ac:dyDescent="0.25">
      <c r="J26" s="24" t="s">
        <v>14</v>
      </c>
      <c r="M26" s="22" t="s">
        <v>85</v>
      </c>
    </row>
    <row r="27" spans="10:13" s="22" customFormat="1" x14ac:dyDescent="0.25">
      <c r="J27" s="24" t="s">
        <v>87</v>
      </c>
    </row>
    <row r="28" spans="10:13" s="22" customFormat="1" x14ac:dyDescent="0.25">
      <c r="J28" s="24"/>
    </row>
    <row r="29" spans="10:13" s="22" customFormat="1" x14ac:dyDescent="0.25">
      <c r="J29" s="24"/>
    </row>
    <row r="30" spans="10:13" s="22" customFormat="1" x14ac:dyDescent="0.25">
      <c r="J30" s="24"/>
    </row>
    <row r="31" spans="10:13" s="22" customFormat="1" x14ac:dyDescent="0.25">
      <c r="J31" s="24"/>
    </row>
    <row r="32" spans="10:13" s="22" customFormat="1" x14ac:dyDescent="0.25">
      <c r="J32" s="24"/>
    </row>
    <row r="33" spans="1:15" s="22" customFormat="1" x14ac:dyDescent="0.25">
      <c r="J33" s="24"/>
    </row>
    <row r="34" spans="1:15" s="22" customFormat="1" x14ac:dyDescent="0.25"/>
    <row r="35" spans="1:15" s="22" customFormat="1" ht="60" x14ac:dyDescent="0.25">
      <c r="A35" s="7" t="s">
        <v>241</v>
      </c>
      <c r="B35" s="7" t="s">
        <v>200</v>
      </c>
      <c r="C35" s="7" t="s">
        <v>18</v>
      </c>
      <c r="D35" s="7" t="s">
        <v>201</v>
      </c>
      <c r="E35" s="7" t="s">
        <v>202</v>
      </c>
      <c r="F35" s="7" t="s">
        <v>209</v>
      </c>
      <c r="G35" s="7" t="s">
        <v>210</v>
      </c>
      <c r="H35" s="23" t="s">
        <v>260</v>
      </c>
      <c r="J35" s="23" t="s">
        <v>257</v>
      </c>
      <c r="K35" s="23" t="s">
        <v>79</v>
      </c>
      <c r="L35" s="23" t="s">
        <v>102</v>
      </c>
      <c r="M35" s="23" t="s">
        <v>80</v>
      </c>
      <c r="O35" s="23" t="s">
        <v>271</v>
      </c>
    </row>
    <row r="36" spans="1:15" s="22" customFormat="1" ht="90" x14ac:dyDescent="0.25">
      <c r="H36" s="7"/>
      <c r="J36" s="27" t="s">
        <v>93</v>
      </c>
      <c r="L36" s="25" t="s">
        <v>149</v>
      </c>
      <c r="M36" s="22" t="s">
        <v>207</v>
      </c>
    </row>
    <row r="37" spans="1:15" s="22" customFormat="1" ht="30" x14ac:dyDescent="0.25">
      <c r="C37" s="12"/>
      <c r="J37" s="28" t="s">
        <v>107</v>
      </c>
      <c r="L37" s="22" t="s">
        <v>116</v>
      </c>
    </row>
    <row r="38" spans="1:15" s="22" customFormat="1" x14ac:dyDescent="0.25">
      <c r="J38" s="21" t="s">
        <v>109</v>
      </c>
    </row>
    <row r="39" spans="1:15" s="22" customFormat="1" ht="45" x14ac:dyDescent="0.25">
      <c r="A39" s="45" t="s">
        <v>258</v>
      </c>
      <c r="B39" s="45" t="s">
        <v>259</v>
      </c>
      <c r="C39" s="45" t="s">
        <v>93</v>
      </c>
      <c r="D39" s="45" t="s">
        <v>107</v>
      </c>
      <c r="E39" s="45" t="s">
        <v>261</v>
      </c>
      <c r="F39" s="45"/>
      <c r="G39" s="45"/>
      <c r="H39" s="45" t="s">
        <v>272</v>
      </c>
      <c r="I39" s="22">
        <v>1</v>
      </c>
      <c r="J39" s="26" t="s">
        <v>208</v>
      </c>
      <c r="K39" s="22" t="s">
        <v>113</v>
      </c>
      <c r="L39" s="22" t="s">
        <v>101</v>
      </c>
      <c r="M39" s="22" t="s">
        <v>106</v>
      </c>
      <c r="O39" s="22" t="str">
        <f t="shared" ref="O39:O44" si="0">A39&amp;"_"&amp;B39&amp;"_"&amp;C39&amp;"_"&amp;D39&amp;"_"&amp;E39&amp;"_"&amp;F39&amp;"_"&amp;G39&amp;"_"&amp;H39</f>
        <v>JXXXX Job Name_Building 1_Sustainability Metrics_Early Design Stage_General Information___RIBA Stage Info</v>
      </c>
    </row>
    <row r="40" spans="1:15" s="22" customFormat="1" ht="90" x14ac:dyDescent="0.25">
      <c r="A40" s="22" t="str">
        <f>A39</f>
        <v>JXXXX Job Name</v>
      </c>
      <c r="B40" s="22" t="str">
        <f t="shared" ref="B40:E40" si="1">B39</f>
        <v>Building 1</v>
      </c>
      <c r="C40" s="22" t="str">
        <f t="shared" si="1"/>
        <v>Sustainability Metrics</v>
      </c>
      <c r="D40" s="22" t="str">
        <f t="shared" si="1"/>
        <v>Early Design Stage</v>
      </c>
      <c r="E40" s="22" t="str">
        <f t="shared" si="1"/>
        <v>General Information</v>
      </c>
      <c r="H40" s="45" t="s">
        <v>263</v>
      </c>
      <c r="I40" s="22">
        <v>2</v>
      </c>
      <c r="J40" s="26" t="s">
        <v>262</v>
      </c>
      <c r="K40" s="22" t="s">
        <v>115</v>
      </c>
      <c r="L40" s="22" t="s">
        <v>117</v>
      </c>
      <c r="O40" s="22" t="str">
        <f t="shared" si="0"/>
        <v>JXXXX Job Name_Building 1_Sustainability Metrics_Early Design Stage_General Information___Project Section Name</v>
      </c>
    </row>
    <row r="41" spans="1:15" s="22" customFormat="1" ht="45" x14ac:dyDescent="0.25">
      <c r="A41" s="22" t="str">
        <f t="shared" ref="A41:E51" si="2">A40</f>
        <v>JXXXX Job Name</v>
      </c>
      <c r="B41" s="22" t="str">
        <f t="shared" si="2"/>
        <v>Building 1</v>
      </c>
      <c r="C41" s="22" t="str">
        <f t="shared" si="2"/>
        <v>Sustainability Metrics</v>
      </c>
      <c r="D41" s="22" t="str">
        <f t="shared" si="2"/>
        <v>Early Design Stage</v>
      </c>
      <c r="E41" s="22" t="str">
        <f t="shared" si="2"/>
        <v>General Information</v>
      </c>
      <c r="H41" s="47" t="s">
        <v>307</v>
      </c>
      <c r="I41" s="22">
        <v>3</v>
      </c>
      <c r="J41" s="26" t="s">
        <v>302</v>
      </c>
      <c r="K41" s="22" t="s">
        <v>565</v>
      </c>
      <c r="L41" s="22" t="s">
        <v>303</v>
      </c>
      <c r="M41" s="49" t="s">
        <v>559</v>
      </c>
      <c r="O41" s="22" t="str">
        <f t="shared" si="0"/>
        <v>JXXXX Job Name_Building 1_Sustainability Metrics_Early Design Stage_General Information___Building Types</v>
      </c>
    </row>
    <row r="42" spans="1:15" s="22" customFormat="1" ht="120" x14ac:dyDescent="0.25">
      <c r="A42" s="22" t="str">
        <f t="shared" si="2"/>
        <v>JXXXX Job Name</v>
      </c>
      <c r="B42" s="22" t="str">
        <f t="shared" si="2"/>
        <v>Building 1</v>
      </c>
      <c r="C42" s="22" t="str">
        <f t="shared" si="2"/>
        <v>Sustainability Metrics</v>
      </c>
      <c r="D42" s="22" t="str">
        <f t="shared" si="2"/>
        <v>Early Design Stage</v>
      </c>
      <c r="E42" s="22" t="str">
        <f t="shared" si="2"/>
        <v>General Information</v>
      </c>
      <c r="H42" s="45" t="s">
        <v>264</v>
      </c>
      <c r="I42" s="22">
        <v>4</v>
      </c>
      <c r="J42" s="26" t="s">
        <v>95</v>
      </c>
      <c r="K42" s="22" t="s">
        <v>89</v>
      </c>
      <c r="L42" s="22" t="s">
        <v>119</v>
      </c>
      <c r="O42" s="22" t="str">
        <f t="shared" si="0"/>
        <v>JXXXX Job Name_Building 1_Sustainability Metrics_Early Design Stage_General Information___GIA (m²)</v>
      </c>
    </row>
    <row r="43" spans="1:15" s="22" customFormat="1" ht="135" x14ac:dyDescent="0.25">
      <c r="A43" s="22" t="str">
        <f t="shared" si="2"/>
        <v>JXXXX Job Name</v>
      </c>
      <c r="B43" s="22" t="str">
        <f t="shared" si="2"/>
        <v>Building 1</v>
      </c>
      <c r="C43" s="22" t="str">
        <f t="shared" si="2"/>
        <v>Sustainability Metrics</v>
      </c>
      <c r="D43" s="22" t="str">
        <f t="shared" si="2"/>
        <v>Early Design Stage</v>
      </c>
      <c r="E43" s="22" t="str">
        <f t="shared" si="2"/>
        <v>General Information</v>
      </c>
      <c r="H43" s="45" t="s">
        <v>265</v>
      </c>
      <c r="I43" s="22">
        <v>5</v>
      </c>
      <c r="J43" s="26" t="s">
        <v>96</v>
      </c>
      <c r="K43" s="22" t="s">
        <v>89</v>
      </c>
      <c r="L43" s="22" t="s">
        <v>110</v>
      </c>
      <c r="O43" s="22" t="str">
        <f t="shared" si="0"/>
        <v>JXXXX Job Name_Building 1_Sustainability Metrics_Early Design Stage_General Information___NIA (m²)</v>
      </c>
    </row>
    <row r="44" spans="1:15" s="30" customFormat="1" ht="45" x14ac:dyDescent="0.25">
      <c r="A44" s="22" t="str">
        <f t="shared" si="2"/>
        <v>JXXXX Job Name</v>
      </c>
      <c r="B44" s="22" t="str">
        <f t="shared" si="2"/>
        <v>Building 1</v>
      </c>
      <c r="C44" s="22" t="str">
        <f t="shared" si="2"/>
        <v>Sustainability Metrics</v>
      </c>
      <c r="D44" s="22" t="str">
        <f t="shared" si="2"/>
        <v>Early Design Stage</v>
      </c>
      <c r="E44" s="22" t="str">
        <f t="shared" si="2"/>
        <v>General Information</v>
      </c>
      <c r="F44" s="22"/>
      <c r="G44" s="22"/>
      <c r="H44" s="45" t="s">
        <v>266</v>
      </c>
      <c r="I44" s="30">
        <v>6</v>
      </c>
      <c r="J44" s="26" t="s">
        <v>278</v>
      </c>
      <c r="K44" s="22" t="s">
        <v>279</v>
      </c>
      <c r="L44" s="29" t="s">
        <v>280</v>
      </c>
      <c r="M44" s="30" t="s">
        <v>253</v>
      </c>
      <c r="O44" s="22" t="str">
        <f t="shared" si="0"/>
        <v>JXXXX Job Name_Building 1_Sustainability Metrics_Early Design Stage_General Information___New Build or Refurb</v>
      </c>
    </row>
    <row r="45" spans="1:15" s="30" customFormat="1" x14ac:dyDescent="0.25">
      <c r="A45" s="22"/>
      <c r="B45" s="22"/>
      <c r="C45" s="22"/>
      <c r="D45" s="22"/>
      <c r="E45" s="22"/>
      <c r="F45" s="22"/>
      <c r="G45" s="22"/>
      <c r="H45" s="22"/>
      <c r="J45" s="22"/>
      <c r="K45" s="22"/>
      <c r="L45" s="29"/>
      <c r="O45" s="22"/>
    </row>
    <row r="46" spans="1:15" s="30" customFormat="1" x14ac:dyDescent="0.25">
      <c r="A46" s="22"/>
      <c r="B46" s="22"/>
      <c r="C46" s="22"/>
      <c r="D46" s="22"/>
      <c r="E46" s="22"/>
      <c r="F46" s="22"/>
      <c r="G46" s="22"/>
      <c r="J46" s="29"/>
      <c r="K46" s="29"/>
      <c r="L46" s="29"/>
      <c r="O46" s="22"/>
    </row>
    <row r="47" spans="1:15" s="22" customFormat="1" x14ac:dyDescent="0.25">
      <c r="J47" s="21" t="s">
        <v>90</v>
      </c>
    </row>
    <row r="48" spans="1:15" s="22" customFormat="1" ht="90" x14ac:dyDescent="0.25">
      <c r="A48" s="45" t="s">
        <v>258</v>
      </c>
      <c r="B48" s="45" t="s">
        <v>259</v>
      </c>
      <c r="C48" s="45" t="s">
        <v>93</v>
      </c>
      <c r="D48" s="45" t="s">
        <v>107</v>
      </c>
      <c r="E48" s="45" t="s">
        <v>267</v>
      </c>
      <c r="F48" s="45"/>
      <c r="G48" s="45"/>
      <c r="H48" s="45" t="s">
        <v>270</v>
      </c>
      <c r="I48" s="22">
        <v>7</v>
      </c>
      <c r="J48" s="26" t="s">
        <v>97</v>
      </c>
      <c r="K48" s="22" t="s">
        <v>105</v>
      </c>
      <c r="L48" s="22" t="s">
        <v>306</v>
      </c>
      <c r="M48" s="22" t="s">
        <v>322</v>
      </c>
      <c r="O48" s="22" t="str">
        <f t="shared" ref="O48:O51" si="3">A48&amp;"_"&amp;B48&amp;"_"&amp;C48&amp;"_"&amp;D48&amp;"_"&amp;E48&amp;"_"&amp;F48&amp;"_"&amp;G48&amp;"_"&amp;H48</f>
        <v>JXXXX Job Name_Building 1_Sustainability Metrics_Early Design Stage_Fossil Fuels During Operation___Fossil Fuels Present</v>
      </c>
    </row>
    <row r="49" spans="1:15" s="22" customFormat="1" ht="75" x14ac:dyDescent="0.25">
      <c r="A49" s="22" t="str">
        <f t="shared" si="2"/>
        <v>JXXXX Job Name</v>
      </c>
      <c r="B49" s="22" t="str">
        <f t="shared" si="2"/>
        <v>Building 1</v>
      </c>
      <c r="C49" s="22" t="str">
        <f t="shared" si="2"/>
        <v>Sustainability Metrics</v>
      </c>
      <c r="D49" s="22" t="str">
        <f t="shared" si="2"/>
        <v>Early Design Stage</v>
      </c>
      <c r="E49" s="22" t="str">
        <f t="shared" si="2"/>
        <v>Fossil Fuels During Operation</v>
      </c>
      <c r="H49" s="45" t="s">
        <v>268</v>
      </c>
      <c r="I49" s="22">
        <v>8</v>
      </c>
      <c r="J49" s="26" t="s">
        <v>289</v>
      </c>
      <c r="K49" s="22" t="s">
        <v>103</v>
      </c>
      <c r="L49" s="22" t="s">
        <v>104</v>
      </c>
      <c r="O49" s="22" t="str">
        <f t="shared" si="3"/>
        <v>JXXXX Job Name_Building 1_Sustainability Metrics_Early Design Stage_Fossil Fuels During Operation___New or Existing Fossil Fuel Use</v>
      </c>
    </row>
    <row r="50" spans="1:15" s="22" customFormat="1" ht="75" x14ac:dyDescent="0.25">
      <c r="A50" s="22" t="str">
        <f t="shared" si="2"/>
        <v>JXXXX Job Name</v>
      </c>
      <c r="B50" s="22" t="str">
        <f t="shared" si="2"/>
        <v>Building 1</v>
      </c>
      <c r="C50" s="22" t="str">
        <f t="shared" si="2"/>
        <v>Sustainability Metrics</v>
      </c>
      <c r="D50" s="22" t="str">
        <f t="shared" si="2"/>
        <v>Early Design Stage</v>
      </c>
      <c r="E50" s="22" t="str">
        <f t="shared" si="2"/>
        <v>Fossil Fuels During Operation</v>
      </c>
      <c r="H50" s="45" t="s">
        <v>273</v>
      </c>
      <c r="I50" s="22">
        <v>9</v>
      </c>
      <c r="J50" s="26" t="s">
        <v>269</v>
      </c>
      <c r="K50" s="22" t="s">
        <v>286</v>
      </c>
      <c r="L50" s="22" t="s">
        <v>288</v>
      </c>
      <c r="M50" s="22" t="s">
        <v>99</v>
      </c>
      <c r="O50" s="22" t="str">
        <f t="shared" si="3"/>
        <v>JXXXX Job Name_Building 1_Sustainability Metrics_Early Design Stage_Fossil Fuels During Operation___Types of  Fossil Fuel in Use</v>
      </c>
    </row>
    <row r="51" spans="1:15" s="22" customFormat="1" ht="75" x14ac:dyDescent="0.25">
      <c r="A51" s="22" t="str">
        <f t="shared" si="2"/>
        <v>JXXXX Job Name</v>
      </c>
      <c r="B51" s="22" t="str">
        <f t="shared" si="2"/>
        <v>Building 1</v>
      </c>
      <c r="C51" s="22" t="str">
        <f t="shared" si="2"/>
        <v>Sustainability Metrics</v>
      </c>
      <c r="D51" s="22" t="str">
        <f t="shared" si="2"/>
        <v>Early Design Stage</v>
      </c>
      <c r="E51" s="22" t="str">
        <f t="shared" si="2"/>
        <v>Fossil Fuels During Operation</v>
      </c>
      <c r="H51" s="45" t="s">
        <v>301</v>
      </c>
      <c r="I51" s="22">
        <v>10</v>
      </c>
      <c r="J51" s="26" t="s">
        <v>285</v>
      </c>
      <c r="K51" s="22" t="s">
        <v>290</v>
      </c>
      <c r="L51" s="22" t="s">
        <v>299</v>
      </c>
      <c r="M51" s="22" t="s">
        <v>100</v>
      </c>
      <c r="O51" s="22" t="str">
        <f t="shared" si="3"/>
        <v>JXXXX Job Name_Building 1_Sustainability Metrics_Early Design Stage_Fossil Fuels During Operation___Fossil Fuel Uses and Systems</v>
      </c>
    </row>
    <row r="53" spans="1:15" s="22" customFormat="1" x14ac:dyDescent="0.25"/>
    <row r="54" spans="1:15" s="22" customFormat="1" x14ac:dyDescent="0.25">
      <c r="J54" s="21" t="s">
        <v>91</v>
      </c>
    </row>
    <row r="55" spans="1:15" s="22" customFormat="1" ht="30" x14ac:dyDescent="0.25">
      <c r="I55" s="22">
        <v>11</v>
      </c>
      <c r="J55" s="26" t="s">
        <v>108</v>
      </c>
      <c r="K55" s="22" t="s">
        <v>105</v>
      </c>
      <c r="L55" s="22" t="s">
        <v>300</v>
      </c>
    </row>
    <row r="56" spans="1:15" s="22" customFormat="1" x14ac:dyDescent="0.25">
      <c r="I56" s="22">
        <v>12</v>
      </c>
      <c r="J56" s="26" t="s">
        <v>118</v>
      </c>
      <c r="K56" s="22" t="s">
        <v>122</v>
      </c>
    </row>
    <row r="57" spans="1:15" s="22" customFormat="1" ht="45" x14ac:dyDescent="0.25">
      <c r="I57" s="22">
        <v>13</v>
      </c>
      <c r="J57" s="26" t="s">
        <v>98</v>
      </c>
      <c r="K57" s="22" t="s">
        <v>325</v>
      </c>
      <c r="L57" s="22" t="s">
        <v>121</v>
      </c>
      <c r="M57" s="22" t="s">
        <v>128</v>
      </c>
    </row>
    <row r="58" spans="1:15" s="22" customFormat="1" ht="30" x14ac:dyDescent="0.25">
      <c r="I58" s="22">
        <v>14</v>
      </c>
      <c r="J58" s="26" t="s">
        <v>120</v>
      </c>
      <c r="K58" s="22" t="s">
        <v>105</v>
      </c>
      <c r="L58" s="22" t="s">
        <v>238</v>
      </c>
    </row>
    <row r="59" spans="1:15" s="22" customFormat="1" ht="224.25" customHeight="1" x14ac:dyDescent="0.25">
      <c r="I59" s="22">
        <v>15</v>
      </c>
      <c r="J59" s="26" t="s">
        <v>142</v>
      </c>
      <c r="K59" s="22" t="s">
        <v>169</v>
      </c>
      <c r="L59" s="22" t="s">
        <v>318</v>
      </c>
      <c r="M59" s="32" t="s">
        <v>314</v>
      </c>
    </row>
    <row r="60" spans="1:15" s="22" customFormat="1" ht="41.25" customHeight="1" x14ac:dyDescent="0.25">
      <c r="I60" s="22">
        <v>16</v>
      </c>
      <c r="J60" s="26" t="s">
        <v>189</v>
      </c>
      <c r="K60" s="22" t="s">
        <v>105</v>
      </c>
    </row>
    <row r="61" spans="1:15" ht="210" x14ac:dyDescent="0.25">
      <c r="I61" s="20">
        <v>17</v>
      </c>
      <c r="J61" s="33" t="s">
        <v>123</v>
      </c>
      <c r="K61" s="22" t="s">
        <v>190</v>
      </c>
      <c r="L61" s="34" t="s">
        <v>313</v>
      </c>
      <c r="M61" s="49" t="s">
        <v>312</v>
      </c>
    </row>
    <row r="62" spans="1:15" s="22" customFormat="1" x14ac:dyDescent="0.25">
      <c r="I62" s="22">
        <v>18</v>
      </c>
      <c r="J62" s="26" t="s">
        <v>127</v>
      </c>
      <c r="K62" s="22" t="s">
        <v>122</v>
      </c>
    </row>
    <row r="63" spans="1:15" ht="45" x14ac:dyDescent="0.25">
      <c r="I63" s="20">
        <v>19</v>
      </c>
      <c r="J63" s="26" t="s">
        <v>126</v>
      </c>
      <c r="K63" s="22" t="s">
        <v>297</v>
      </c>
    </row>
    <row r="64" spans="1:15" ht="45" x14ac:dyDescent="0.25">
      <c r="I64" s="20">
        <v>20</v>
      </c>
      <c r="J64" s="26" t="s">
        <v>150</v>
      </c>
      <c r="K64" s="22" t="s">
        <v>154</v>
      </c>
      <c r="M64" s="48" t="s">
        <v>319</v>
      </c>
    </row>
    <row r="65" spans="9:13" ht="45" x14ac:dyDescent="0.25">
      <c r="I65" s="20">
        <v>21</v>
      </c>
      <c r="J65" s="26" t="s">
        <v>219</v>
      </c>
      <c r="K65" s="22" t="s">
        <v>105</v>
      </c>
      <c r="L65" s="22" t="s">
        <v>151</v>
      </c>
      <c r="M65" s="48" t="s">
        <v>319</v>
      </c>
    </row>
    <row r="66" spans="9:13" ht="90" x14ac:dyDescent="0.25">
      <c r="I66" s="20">
        <v>22</v>
      </c>
      <c r="J66" s="26" t="s">
        <v>152</v>
      </c>
      <c r="K66" s="22" t="s">
        <v>105</v>
      </c>
      <c r="L66" s="22" t="s">
        <v>153</v>
      </c>
      <c r="M66" s="48" t="s">
        <v>319</v>
      </c>
    </row>
    <row r="67" spans="9:13" s="22" customFormat="1" x14ac:dyDescent="0.25"/>
    <row r="68" spans="9:13" s="22" customFormat="1" x14ac:dyDescent="0.25"/>
    <row r="69" spans="9:13" s="22" customFormat="1" x14ac:dyDescent="0.25">
      <c r="J69" s="35" t="s">
        <v>140</v>
      </c>
    </row>
    <row r="70" spans="9:13" s="22" customFormat="1" ht="30" x14ac:dyDescent="0.25">
      <c r="I70" s="22">
        <v>23</v>
      </c>
      <c r="J70" s="36" t="s">
        <v>143</v>
      </c>
      <c r="K70" s="29" t="s">
        <v>105</v>
      </c>
      <c r="L70" s="29" t="s">
        <v>144</v>
      </c>
    </row>
    <row r="71" spans="9:13" s="22" customFormat="1" x14ac:dyDescent="0.25">
      <c r="I71" s="22">
        <v>24</v>
      </c>
      <c r="J71" s="36" t="s">
        <v>145</v>
      </c>
      <c r="K71" s="29" t="s">
        <v>89</v>
      </c>
      <c r="L71" s="29"/>
    </row>
    <row r="72" spans="9:13" s="22" customFormat="1" ht="60" x14ac:dyDescent="0.25">
      <c r="I72" s="22">
        <v>25</v>
      </c>
      <c r="J72" s="36" t="s">
        <v>146</v>
      </c>
      <c r="K72" s="29" t="s">
        <v>141</v>
      </c>
      <c r="L72" s="29"/>
    </row>
    <row r="73" spans="9:13" s="22" customFormat="1" ht="30" x14ac:dyDescent="0.25">
      <c r="I73" s="22">
        <v>26</v>
      </c>
      <c r="J73" s="36" t="s">
        <v>147</v>
      </c>
      <c r="K73" s="29" t="s">
        <v>105</v>
      </c>
      <c r="L73" s="29"/>
    </row>
    <row r="74" spans="9:13" ht="165" x14ac:dyDescent="0.25">
      <c r="I74" s="20">
        <v>27</v>
      </c>
      <c r="J74" s="33" t="s">
        <v>148</v>
      </c>
      <c r="K74" s="34" t="s">
        <v>170</v>
      </c>
      <c r="L74" s="22" t="s">
        <v>317</v>
      </c>
    </row>
    <row r="75" spans="9:13" s="22" customFormat="1" x14ac:dyDescent="0.25">
      <c r="I75" s="22">
        <v>28</v>
      </c>
      <c r="J75" s="37" t="s">
        <v>171</v>
      </c>
      <c r="K75" s="29" t="s">
        <v>105</v>
      </c>
    </row>
    <row r="76" spans="9:13" s="22" customFormat="1" x14ac:dyDescent="0.25">
      <c r="I76" s="22">
        <v>29</v>
      </c>
      <c r="J76" s="37" t="s">
        <v>172</v>
      </c>
      <c r="K76" s="22" t="s">
        <v>89</v>
      </c>
      <c r="L76" s="31"/>
    </row>
    <row r="77" spans="9:13" s="22" customFormat="1" ht="60" x14ac:dyDescent="0.25">
      <c r="I77" s="22">
        <v>30</v>
      </c>
      <c r="J77" s="37" t="s">
        <v>173</v>
      </c>
      <c r="K77" s="29" t="s">
        <v>141</v>
      </c>
      <c r="L77" s="31"/>
    </row>
    <row r="78" spans="9:13" s="22" customFormat="1" x14ac:dyDescent="0.25"/>
    <row r="79" spans="9:13" s="22" customFormat="1" x14ac:dyDescent="0.25">
      <c r="J79" s="35" t="s">
        <v>174</v>
      </c>
      <c r="K79" s="31"/>
      <c r="L79" s="31"/>
      <c r="M79" s="22" t="s">
        <v>220</v>
      </c>
    </row>
    <row r="80" spans="9:13" s="22" customFormat="1" ht="60" x14ac:dyDescent="0.25">
      <c r="I80" s="22">
        <v>31</v>
      </c>
      <c r="J80" s="36" t="s">
        <v>211</v>
      </c>
      <c r="K80" s="29" t="s">
        <v>212</v>
      </c>
      <c r="L80" s="34" t="s">
        <v>213</v>
      </c>
    </row>
    <row r="81" spans="9:13" s="22" customFormat="1" ht="90" x14ac:dyDescent="0.25">
      <c r="I81" s="22">
        <v>32</v>
      </c>
      <c r="J81" s="36" t="s">
        <v>214</v>
      </c>
      <c r="K81" s="29" t="s">
        <v>320</v>
      </c>
      <c r="L81" s="34"/>
    </row>
    <row r="82" spans="9:13" s="22" customFormat="1" ht="45" x14ac:dyDescent="0.25">
      <c r="I82" s="22">
        <v>33</v>
      </c>
      <c r="J82" s="37" t="s">
        <v>295</v>
      </c>
      <c r="K82" s="29" t="s">
        <v>89</v>
      </c>
      <c r="L82" s="34" t="s">
        <v>296</v>
      </c>
      <c r="M82" s="22" t="s">
        <v>191</v>
      </c>
    </row>
    <row r="83" spans="9:13" s="22" customFormat="1" ht="60" x14ac:dyDescent="0.25">
      <c r="J83" s="37" t="s">
        <v>175</v>
      </c>
      <c r="K83" s="29" t="s">
        <v>105</v>
      </c>
      <c r="L83" s="34" t="s">
        <v>178</v>
      </c>
    </row>
    <row r="84" spans="9:13" s="22" customFormat="1" x14ac:dyDescent="0.25">
      <c r="I84" s="22">
        <v>34</v>
      </c>
      <c r="J84" s="37" t="s">
        <v>176</v>
      </c>
      <c r="K84" s="34" t="s">
        <v>115</v>
      </c>
      <c r="L84" s="34" t="s">
        <v>177</v>
      </c>
    </row>
    <row r="85" spans="9:13" s="29" customFormat="1" x14ac:dyDescent="0.25">
      <c r="J85" s="38"/>
      <c r="K85" s="38"/>
      <c r="L85" s="38"/>
    </row>
    <row r="86" spans="9:13" s="22" customFormat="1" x14ac:dyDescent="0.25">
      <c r="J86" s="31"/>
      <c r="K86" s="31"/>
      <c r="L86" s="31"/>
    </row>
    <row r="87" spans="9:13" s="22" customFormat="1" ht="30" x14ac:dyDescent="0.25">
      <c r="J87" s="35" t="s">
        <v>294</v>
      </c>
      <c r="K87" s="31"/>
      <c r="L87" s="34" t="s">
        <v>188</v>
      </c>
      <c r="M87" s="22" t="s">
        <v>293</v>
      </c>
    </row>
    <row r="88" spans="9:13" s="22" customFormat="1" ht="195" x14ac:dyDescent="0.25">
      <c r="I88" s="22">
        <v>35</v>
      </c>
      <c r="J88" s="37" t="s">
        <v>180</v>
      </c>
      <c r="K88" s="34" t="s">
        <v>122</v>
      </c>
      <c r="L88" s="34" t="s">
        <v>216</v>
      </c>
    </row>
    <row r="89" spans="9:13" s="22" customFormat="1" ht="90" x14ac:dyDescent="0.25">
      <c r="I89" s="22">
        <v>36</v>
      </c>
      <c r="J89" s="37" t="s">
        <v>251</v>
      </c>
      <c r="K89" s="29" t="s">
        <v>217</v>
      </c>
      <c r="L89" s="34" t="s">
        <v>239</v>
      </c>
      <c r="M89" s="22" t="s">
        <v>240</v>
      </c>
    </row>
    <row r="90" spans="9:13" s="22" customFormat="1" ht="30" x14ac:dyDescent="0.25">
      <c r="I90" s="22">
        <v>37</v>
      </c>
      <c r="J90" s="26" t="s">
        <v>252</v>
      </c>
      <c r="K90" s="34" t="s">
        <v>122</v>
      </c>
      <c r="L90" s="31" t="s">
        <v>315</v>
      </c>
      <c r="M90" s="39" t="s">
        <v>215</v>
      </c>
    </row>
    <row r="93" spans="9:13" x14ac:dyDescent="0.25">
      <c r="J93" s="20" t="s">
        <v>321</v>
      </c>
    </row>
    <row r="94" spans="9:13" x14ac:dyDescent="0.25">
      <c r="J94" s="21"/>
    </row>
    <row r="97" spans="10:13" x14ac:dyDescent="0.25">
      <c r="J97" s="30"/>
    </row>
    <row r="98" spans="10:13" ht="30" x14ac:dyDescent="0.25">
      <c r="J98" s="28" t="s">
        <v>221</v>
      </c>
      <c r="K98" s="22"/>
      <c r="L98" s="22" t="s">
        <v>224</v>
      </c>
      <c r="M98" s="20" t="s">
        <v>274</v>
      </c>
    </row>
    <row r="99" spans="10:13" x14ac:dyDescent="0.25">
      <c r="J99" s="21" t="s">
        <v>109</v>
      </c>
      <c r="K99" s="22"/>
      <c r="L99" s="22"/>
    </row>
    <row r="100" spans="10:13" ht="30" x14ac:dyDescent="0.25">
      <c r="J100" s="26" t="s">
        <v>222</v>
      </c>
      <c r="K100" s="22" t="s">
        <v>223</v>
      </c>
      <c r="L100" s="22" t="s">
        <v>101</v>
      </c>
    </row>
    <row r="101" spans="10:13" x14ac:dyDescent="0.25">
      <c r="J101" s="20" t="s">
        <v>226</v>
      </c>
    </row>
    <row r="102" spans="10:13" x14ac:dyDescent="0.25">
      <c r="M102" s="22"/>
    </row>
    <row r="103" spans="10:13" x14ac:dyDescent="0.25">
      <c r="J103" s="40" t="s">
        <v>225</v>
      </c>
    </row>
    <row r="105" spans="10:13" x14ac:dyDescent="0.25">
      <c r="J105" s="21"/>
    </row>
    <row r="111" spans="10:13" ht="30" x14ac:dyDescent="0.25">
      <c r="J111" s="28" t="s">
        <v>227</v>
      </c>
      <c r="K111" s="22"/>
      <c r="L111" s="22" t="s">
        <v>229</v>
      </c>
    </row>
    <row r="112" spans="10:13" x14ac:dyDescent="0.25">
      <c r="J112" s="21" t="s">
        <v>109</v>
      </c>
      <c r="K112" s="22"/>
      <c r="L112" s="22"/>
    </row>
    <row r="113" spans="10:12" ht="30" x14ac:dyDescent="0.25">
      <c r="J113" s="26" t="s">
        <v>228</v>
      </c>
      <c r="K113" s="22" t="s">
        <v>223</v>
      </c>
      <c r="L113" s="22" t="s">
        <v>101</v>
      </c>
    </row>
    <row r="114" spans="10:12" x14ac:dyDescent="0.25">
      <c r="J114" s="20" t="s">
        <v>226</v>
      </c>
    </row>
    <row r="116" spans="10:12" x14ac:dyDescent="0.25">
      <c r="J116" s="40" t="s">
        <v>230</v>
      </c>
    </row>
  </sheetData>
  <hyperlinks>
    <hyperlink ref="M59" r:id="rId1" display="https://www.england.nhs.uk/publication/nhs-net-zero-building-standard/" xr:uid="{964B8FFF-6A68-459F-9414-35F158451B90}"/>
  </hyperlinks>
  <pageMargins left="0.7" right="0.7" top="0.75" bottom="0.75" header="0.3" footer="0.3"/>
  <pageSetup paperSize="9" orientation="portrait" horizontalDpi="300" verticalDpi="0"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9C44B1B3-0006-4C68-AED9-2F860777551C}">
          <x14:formula1>
            <xm:f>'MF UK NZC BS OE Tool'!$AA$54:$DF$54</xm:f>
          </x14:formula1>
          <xm:sqref>K41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9E780A-F608-4EC1-B109-4D0728F56E8A}">
  <dimension ref="A1:DH133"/>
  <sheetViews>
    <sheetView tabSelected="1" zoomScale="70" zoomScaleNormal="70" workbookViewId="0">
      <selection activeCell="A7" sqref="A7"/>
    </sheetView>
  </sheetViews>
  <sheetFormatPr defaultRowHeight="15" x14ac:dyDescent="0.25"/>
  <cols>
    <col min="1" max="1" width="9.7109375" style="50" customWidth="1"/>
    <col min="2" max="2" width="18.85546875" style="50" customWidth="1"/>
    <col min="3" max="3" width="36.7109375" style="50" customWidth="1"/>
    <col min="4" max="9" width="15.85546875" style="50" customWidth="1"/>
    <col min="10" max="10" width="11.140625" style="50" customWidth="1"/>
    <col min="11" max="11" width="20.140625" style="50" customWidth="1"/>
    <col min="12" max="13" width="25.140625" style="50" customWidth="1"/>
    <col min="14" max="14" width="11.140625" style="50" customWidth="1"/>
    <col min="15" max="25" width="9.140625" style="50"/>
    <col min="26" max="26" width="30" style="50" customWidth="1"/>
    <col min="27" max="27" width="13.42578125" style="50" customWidth="1"/>
    <col min="28" max="61" width="9.140625" style="50"/>
    <col min="62" max="62" width="14.28515625" style="50" customWidth="1"/>
    <col min="63" max="100" width="9.140625" style="50"/>
    <col min="101" max="101" width="14.7109375" style="50" customWidth="1"/>
    <col min="102" max="107" width="18" style="50" customWidth="1"/>
    <col min="108" max="110" width="11" style="50" customWidth="1"/>
    <col min="111" max="111" width="9.140625" style="50"/>
    <col min="112" max="112" width="9.85546875" style="50" customWidth="1"/>
    <col min="113" max="16384" width="9.140625" style="50"/>
  </cols>
  <sheetData>
    <row r="1" spans="1:53" ht="23.25" x14ac:dyDescent="0.25">
      <c r="A1" s="84" t="s">
        <v>558</v>
      </c>
    </row>
    <row r="2" spans="1:53" x14ac:dyDescent="0.25">
      <c r="A2" s="64" t="s">
        <v>282</v>
      </c>
      <c r="B2" s="64">
        <v>1.3</v>
      </c>
      <c r="C2" s="64" t="s">
        <v>557</v>
      </c>
      <c r="G2" s="50" t="s">
        <v>556</v>
      </c>
      <c r="H2" s="42" t="s">
        <v>538</v>
      </c>
      <c r="AE2" s="64"/>
      <c r="AF2" s="64"/>
      <c r="BA2" s="64"/>
    </row>
    <row r="3" spans="1:53" x14ac:dyDescent="0.25">
      <c r="A3" s="64" t="s">
        <v>555</v>
      </c>
    </row>
    <row r="5" spans="1:53" ht="21" x14ac:dyDescent="0.25">
      <c r="A5" s="81" t="s">
        <v>554</v>
      </c>
    </row>
    <row r="6" spans="1:53" x14ac:dyDescent="0.25">
      <c r="A6" s="50" t="s">
        <v>553</v>
      </c>
    </row>
    <row r="7" spans="1:53" x14ac:dyDescent="0.25">
      <c r="A7" s="50" t="s">
        <v>552</v>
      </c>
    </row>
    <row r="9" spans="1:53" x14ac:dyDescent="0.25">
      <c r="A9" s="50" t="s">
        <v>551</v>
      </c>
      <c r="D9" s="64"/>
    </row>
    <row r="10" spans="1:53" x14ac:dyDescent="0.25">
      <c r="A10" s="50" t="s">
        <v>550</v>
      </c>
    </row>
    <row r="11" spans="1:53" x14ac:dyDescent="0.25">
      <c r="A11" s="64"/>
      <c r="B11" s="64"/>
    </row>
    <row r="12" spans="1:53" x14ac:dyDescent="0.25">
      <c r="A12" s="50" t="s">
        <v>549</v>
      </c>
    </row>
    <row r="13" spans="1:53" x14ac:dyDescent="0.25">
      <c r="A13" s="50" t="s">
        <v>548</v>
      </c>
    </row>
    <row r="15" spans="1:53" x14ac:dyDescent="0.25">
      <c r="A15" s="50" t="s">
        <v>547</v>
      </c>
      <c r="D15" s="83" t="s">
        <v>546</v>
      </c>
    </row>
    <row r="18" spans="1:1" x14ac:dyDescent="0.25">
      <c r="A18" s="50" t="s">
        <v>545</v>
      </c>
    </row>
    <row r="19" spans="1:1" x14ac:dyDescent="0.25">
      <c r="A19" s="50" t="s">
        <v>544</v>
      </c>
    </row>
    <row r="20" spans="1:1" x14ac:dyDescent="0.25">
      <c r="A20" s="50" t="s">
        <v>543</v>
      </c>
    </row>
    <row r="21" spans="1:1" x14ac:dyDescent="0.25">
      <c r="A21" s="50" t="s">
        <v>542</v>
      </c>
    </row>
    <row r="23" spans="1:1" x14ac:dyDescent="0.25">
      <c r="A23" s="50" t="s">
        <v>541</v>
      </c>
    </row>
    <row r="24" spans="1:1" x14ac:dyDescent="0.25">
      <c r="A24" s="50" t="s">
        <v>540</v>
      </c>
    </row>
    <row r="27" spans="1:1" x14ac:dyDescent="0.25">
      <c r="A27" s="50" t="s">
        <v>539</v>
      </c>
    </row>
    <row r="28" spans="1:1" x14ac:dyDescent="0.25">
      <c r="A28" s="50" t="s">
        <v>538</v>
      </c>
    </row>
    <row r="31" spans="1:1" x14ac:dyDescent="0.25">
      <c r="A31" s="50" t="s">
        <v>537</v>
      </c>
    </row>
    <row r="32" spans="1:1" x14ac:dyDescent="0.25">
      <c r="A32" s="50" t="s">
        <v>536</v>
      </c>
    </row>
    <row r="38" spans="1:5" ht="21" x14ac:dyDescent="0.25">
      <c r="A38" s="81" t="s">
        <v>535</v>
      </c>
    </row>
    <row r="40" spans="1:5" ht="78" customHeight="1" x14ac:dyDescent="0.25">
      <c r="A40" s="82" t="s">
        <v>519</v>
      </c>
      <c r="B40" s="56" t="s">
        <v>342</v>
      </c>
      <c r="C40" s="56" t="s">
        <v>341</v>
      </c>
      <c r="D40" s="56" t="s">
        <v>333</v>
      </c>
      <c r="E40" s="56" t="s">
        <v>332</v>
      </c>
    </row>
    <row r="41" spans="1:5" x14ac:dyDescent="0.25">
      <c r="A41" s="82" t="s">
        <v>534</v>
      </c>
      <c r="B41" s="61">
        <v>2028</v>
      </c>
      <c r="C41" s="61" t="s">
        <v>378</v>
      </c>
      <c r="D41" s="57">
        <f t="shared" ref="D41:D48" si="0">INDEX($AB$57:$CV$73,MATCH(B41,$Z$57:$Z$73,0), MATCH(C41,$AB$54:$CW$54,0))</f>
        <v>39</v>
      </c>
      <c r="E41" s="55" t="str">
        <f t="shared" ref="E41:E48" si="1">HLOOKUP(C41,$AA$54:$CV$56,3,0)</f>
        <v>kWh/m²GIA/yr</v>
      </c>
    </row>
    <row r="42" spans="1:5" x14ac:dyDescent="0.25">
      <c r="A42" s="82" t="s">
        <v>533</v>
      </c>
      <c r="B42" s="61">
        <v>2027</v>
      </c>
      <c r="C42" s="61" t="s">
        <v>353</v>
      </c>
      <c r="D42" s="57">
        <f t="shared" si="0"/>
        <v>80</v>
      </c>
      <c r="E42" s="55" t="str">
        <f t="shared" si="1"/>
        <v>kWh/m²GIA/yr</v>
      </c>
    </row>
    <row r="43" spans="1:5" x14ac:dyDescent="0.25">
      <c r="A43" s="82" t="s">
        <v>532</v>
      </c>
      <c r="B43" s="61">
        <v>2027</v>
      </c>
      <c r="C43" s="61" t="s">
        <v>357</v>
      </c>
      <c r="D43" s="57">
        <f t="shared" si="0"/>
        <v>100</v>
      </c>
      <c r="E43" s="55" t="str">
        <f t="shared" si="1"/>
        <v>kWh/m²NIA/yr</v>
      </c>
    </row>
    <row r="44" spans="1:5" ht="30" x14ac:dyDescent="0.25">
      <c r="A44" s="82" t="s">
        <v>531</v>
      </c>
      <c r="B44" s="61">
        <v>2027</v>
      </c>
      <c r="C44" s="61" t="s">
        <v>489</v>
      </c>
      <c r="D44" s="57">
        <f t="shared" si="0"/>
        <v>96</v>
      </c>
      <c r="E44" s="55" t="str">
        <f t="shared" si="1"/>
        <v>kWh/m²GIA/yr</v>
      </c>
    </row>
    <row r="45" spans="1:5" x14ac:dyDescent="0.25">
      <c r="A45" s="82" t="s">
        <v>530</v>
      </c>
      <c r="B45" s="61">
        <v>2027</v>
      </c>
      <c r="C45" s="61" t="s">
        <v>483</v>
      </c>
      <c r="D45" s="57">
        <f t="shared" si="0"/>
        <v>163</v>
      </c>
      <c r="E45" s="55" t="str">
        <f t="shared" si="1"/>
        <v>kWh/m²GIA/yr</v>
      </c>
    </row>
    <row r="46" spans="1:5" x14ac:dyDescent="0.25">
      <c r="A46" s="82" t="s">
        <v>529</v>
      </c>
      <c r="B46" s="61">
        <v>2027</v>
      </c>
      <c r="C46" s="61" t="s">
        <v>363</v>
      </c>
      <c r="D46" s="57">
        <f t="shared" si="0"/>
        <v>145</v>
      </c>
      <c r="E46" s="55" t="str">
        <f t="shared" si="1"/>
        <v>kWh/m²GIA/yr</v>
      </c>
    </row>
    <row r="47" spans="1:5" x14ac:dyDescent="0.25">
      <c r="A47" s="82" t="s">
        <v>528</v>
      </c>
      <c r="B47" s="61">
        <v>2027</v>
      </c>
      <c r="C47" s="61" t="s">
        <v>509</v>
      </c>
      <c r="D47" s="57">
        <f t="shared" si="0"/>
        <v>95</v>
      </c>
      <c r="E47" s="55" t="str">
        <f t="shared" si="1"/>
        <v>kWh/m²GIA/yr</v>
      </c>
    </row>
    <row r="48" spans="1:5" x14ac:dyDescent="0.25">
      <c r="A48" s="82" t="s">
        <v>527</v>
      </c>
      <c r="B48" s="61">
        <v>2030</v>
      </c>
      <c r="C48" s="61" t="s">
        <v>509</v>
      </c>
      <c r="D48" s="57">
        <f t="shared" si="0"/>
        <v>87</v>
      </c>
      <c r="E48" s="55" t="str">
        <f t="shared" si="1"/>
        <v>kWh/m²GIA/yr</v>
      </c>
    </row>
    <row r="50" spans="1:112" ht="21" x14ac:dyDescent="0.25">
      <c r="Z50" s="81" t="s">
        <v>526</v>
      </c>
    </row>
    <row r="51" spans="1:112" ht="21" x14ac:dyDescent="0.25">
      <c r="A51" s="81" t="s">
        <v>525</v>
      </c>
    </row>
    <row r="52" spans="1:112" ht="18.75" x14ac:dyDescent="0.25">
      <c r="A52" s="64" t="s">
        <v>524</v>
      </c>
      <c r="C52" s="64"/>
      <c r="AA52" s="80" t="s">
        <v>523</v>
      </c>
      <c r="BJ52" s="80" t="s">
        <v>522</v>
      </c>
      <c r="CW52" s="80" t="s">
        <v>521</v>
      </c>
      <c r="DC52" s="80" t="s">
        <v>564</v>
      </c>
      <c r="DH52" s="80" t="s">
        <v>520</v>
      </c>
    </row>
    <row r="53" spans="1:112" s="51" customFormat="1" ht="35.25" customHeight="1" x14ac:dyDescent="0.25">
      <c r="CX53" s="63" t="s">
        <v>379</v>
      </c>
      <c r="CY53" s="63" t="s">
        <v>368</v>
      </c>
      <c r="CZ53" s="63" t="s">
        <v>359</v>
      </c>
      <c r="DA53" s="63" t="s">
        <v>355</v>
      </c>
      <c r="DB53" s="63" t="s">
        <v>351</v>
      </c>
      <c r="DC53" s="63"/>
      <c r="DD53" s="63"/>
    </row>
    <row r="54" spans="1:112" s="63" customFormat="1" ht="120" x14ac:dyDescent="0.25">
      <c r="A54" s="56" t="s">
        <v>519</v>
      </c>
      <c r="B54" s="56" t="s">
        <v>342</v>
      </c>
      <c r="C54" s="56" t="s">
        <v>337</v>
      </c>
      <c r="D54" s="56" t="s">
        <v>333</v>
      </c>
      <c r="E54" s="56" t="s">
        <v>332</v>
      </c>
      <c r="F54" s="51"/>
      <c r="G54" s="51"/>
      <c r="H54" s="51"/>
      <c r="I54" s="51"/>
      <c r="J54" s="51"/>
      <c r="K54" s="51"/>
      <c r="L54" s="51"/>
      <c r="M54" s="51"/>
      <c r="O54" s="51"/>
      <c r="P54" s="51"/>
      <c r="Q54" s="51"/>
      <c r="R54" s="51"/>
      <c r="AA54" s="63" t="s">
        <v>518</v>
      </c>
      <c r="AB54" s="78" t="s">
        <v>517</v>
      </c>
      <c r="AC54" s="78" t="s">
        <v>516</v>
      </c>
      <c r="AD54" s="79" t="s">
        <v>515</v>
      </c>
      <c r="AE54" s="79" t="s">
        <v>514</v>
      </c>
      <c r="AF54" s="79" t="s">
        <v>513</v>
      </c>
      <c r="AG54" s="78" t="s">
        <v>512</v>
      </c>
      <c r="AH54" s="78" t="s">
        <v>511</v>
      </c>
      <c r="AI54" s="79" t="s">
        <v>510</v>
      </c>
      <c r="AJ54" s="78" t="s">
        <v>509</v>
      </c>
      <c r="AK54" s="79" t="s">
        <v>508</v>
      </c>
      <c r="AL54" s="79" t="s">
        <v>378</v>
      </c>
      <c r="AM54" s="78" t="s">
        <v>507</v>
      </c>
      <c r="AN54" s="79" t="s">
        <v>353</v>
      </c>
      <c r="AO54" s="79" t="s">
        <v>357</v>
      </c>
      <c r="AP54" s="79" t="s">
        <v>506</v>
      </c>
      <c r="AQ54" s="79" t="s">
        <v>505</v>
      </c>
      <c r="AR54" s="79" t="s">
        <v>504</v>
      </c>
      <c r="AS54" s="79" t="s">
        <v>503</v>
      </c>
      <c r="AT54" s="78" t="s">
        <v>502</v>
      </c>
      <c r="AU54" s="78" t="s">
        <v>501</v>
      </c>
      <c r="AV54" s="78" t="s">
        <v>500</v>
      </c>
      <c r="AW54" s="78" t="s">
        <v>338</v>
      </c>
      <c r="AX54" s="78" t="s">
        <v>499</v>
      </c>
      <c r="AY54" s="78" t="s">
        <v>498</v>
      </c>
      <c r="AZ54" s="79" t="s">
        <v>377</v>
      </c>
      <c r="BA54" s="79" t="s">
        <v>376</v>
      </c>
      <c r="BB54" s="79" t="s">
        <v>497</v>
      </c>
      <c r="BC54" s="78" t="s">
        <v>496</v>
      </c>
      <c r="BD54" s="79" t="s">
        <v>365</v>
      </c>
      <c r="BE54" s="79" t="s">
        <v>364</v>
      </c>
      <c r="BF54" s="79" t="s">
        <v>363</v>
      </c>
      <c r="BG54" s="78" t="s">
        <v>495</v>
      </c>
      <c r="BH54" s="78" t="s">
        <v>494</v>
      </c>
      <c r="BI54" s="78" t="s">
        <v>493</v>
      </c>
      <c r="BJ54" s="63" t="s">
        <v>492</v>
      </c>
      <c r="BK54" s="78" t="s">
        <v>339</v>
      </c>
      <c r="BL54" s="78" t="s">
        <v>491</v>
      </c>
      <c r="BM54" s="79" t="s">
        <v>490</v>
      </c>
      <c r="BN54" s="79" t="s">
        <v>489</v>
      </c>
      <c r="BO54" s="79" t="s">
        <v>488</v>
      </c>
      <c r="BP54" s="78" t="s">
        <v>487</v>
      </c>
      <c r="BQ54" s="78" t="s">
        <v>486</v>
      </c>
      <c r="BR54" s="79" t="s">
        <v>485</v>
      </c>
      <c r="BS54" s="79" t="s">
        <v>484</v>
      </c>
      <c r="BT54" s="79" t="s">
        <v>483</v>
      </c>
      <c r="BU54" s="79" t="s">
        <v>482</v>
      </c>
      <c r="BV54" s="79" t="s">
        <v>481</v>
      </c>
      <c r="BW54" s="78" t="s">
        <v>340</v>
      </c>
      <c r="BX54" s="79" t="s">
        <v>480</v>
      </c>
      <c r="BY54" s="79" t="s">
        <v>479</v>
      </c>
      <c r="BZ54" s="78" t="s">
        <v>478</v>
      </c>
      <c r="CA54" s="79" t="s">
        <v>354</v>
      </c>
      <c r="CB54" s="79" t="s">
        <v>358</v>
      </c>
      <c r="CC54" s="79" t="s">
        <v>477</v>
      </c>
      <c r="CD54" s="79" t="s">
        <v>476</v>
      </c>
      <c r="CE54" s="79" t="s">
        <v>475</v>
      </c>
      <c r="CF54" s="79" t="s">
        <v>474</v>
      </c>
      <c r="CG54" s="78" t="s">
        <v>473</v>
      </c>
      <c r="CH54" s="78" t="s">
        <v>472</v>
      </c>
      <c r="CI54" s="78" t="s">
        <v>471</v>
      </c>
      <c r="CJ54" s="78" t="s">
        <v>470</v>
      </c>
      <c r="CK54" s="78" t="s">
        <v>469</v>
      </c>
      <c r="CL54" s="78" t="s">
        <v>468</v>
      </c>
      <c r="CM54" s="79" t="s">
        <v>467</v>
      </c>
      <c r="CN54" s="79" t="s">
        <v>466</v>
      </c>
      <c r="CO54" s="79" t="s">
        <v>465</v>
      </c>
      <c r="CP54" s="78" t="s">
        <v>464</v>
      </c>
      <c r="CQ54" s="79" t="s">
        <v>463</v>
      </c>
      <c r="CR54" s="79" t="s">
        <v>462</v>
      </c>
      <c r="CS54" s="79" t="s">
        <v>461</v>
      </c>
      <c r="CT54" s="78" t="s">
        <v>460</v>
      </c>
      <c r="CU54" s="78" t="s">
        <v>459</v>
      </c>
      <c r="CV54" s="78" t="s">
        <v>458</v>
      </c>
      <c r="CW54" s="63" t="s">
        <v>457</v>
      </c>
      <c r="CX54" s="76" t="str">
        <f>L72</f>
        <v>40%_NB Home Flat. + 
25%_NB School E.Y. + 
35%_NB School Pri.</v>
      </c>
      <c r="CY54" s="76" t="str">
        <f>L85</f>
        <v>40%_NB Sport &amp;L Dry + 
25%_NB Sport &amp;L Wet + 
35%_NB Sport &amp;L Fit.</v>
      </c>
      <c r="CZ54" s="76" t="str">
        <f>L98</f>
        <v>70%_RFOG Off. Gen. (NIA) + 
30%_NB Off. Gen. (NIA)</v>
      </c>
      <c r="DA54" s="76" t="str">
        <f>L111</f>
        <v>70%_RFOG Off. Gen. (GIA) + 
28%_NB Off. Gen. (GIA) + 
2%_NB Retail FB inc. Cater.</v>
      </c>
      <c r="DB54" s="76" t="str">
        <f>L124</f>
        <v>20%_RFOG High. Ed. + 
70%_RFOG Stud. Resi. + 
10%_NB Retail FB inc. Cater.</v>
      </c>
      <c r="DC54" s="63" t="s">
        <v>560</v>
      </c>
      <c r="DD54" s="85" t="s">
        <v>561</v>
      </c>
      <c r="DE54" s="85" t="s">
        <v>563</v>
      </c>
      <c r="DF54" s="85" t="s">
        <v>562</v>
      </c>
      <c r="DH54" s="63" t="s">
        <v>456</v>
      </c>
    </row>
    <row r="55" spans="1:112" s="63" customFormat="1" ht="57.75" customHeight="1" x14ac:dyDescent="0.25">
      <c r="A55" s="56" t="s">
        <v>455</v>
      </c>
      <c r="B55" s="55">
        <f>L71</f>
        <v>2028</v>
      </c>
      <c r="C55" s="55" t="str">
        <f>L72</f>
        <v>40%_NB Home Flat. + 
25%_NB School E.Y. + 
35%_NB School Pri.</v>
      </c>
      <c r="D55" s="72">
        <f>L74</f>
        <v>42.65</v>
      </c>
      <c r="E55" s="55" t="str">
        <f>L75</f>
        <v>kWh/m²GIA/yr</v>
      </c>
      <c r="F55" s="51"/>
      <c r="G55" s="51"/>
      <c r="H55" s="51"/>
      <c r="I55" s="51"/>
      <c r="J55" s="51"/>
      <c r="K55" s="51"/>
      <c r="L55" s="51"/>
      <c r="M55" s="51"/>
      <c r="N55" s="51"/>
      <c r="O55" s="51"/>
      <c r="P55" s="51"/>
      <c r="Q55" s="51"/>
      <c r="R55" s="51"/>
      <c r="Z55" s="63" t="s">
        <v>330</v>
      </c>
      <c r="AA55" s="51" t="s">
        <v>35</v>
      </c>
      <c r="AB55" s="77" t="s">
        <v>454</v>
      </c>
      <c r="AC55" s="77" t="s">
        <v>453</v>
      </c>
      <c r="AD55" s="76" t="s">
        <v>452</v>
      </c>
      <c r="AE55" s="76" t="s">
        <v>451</v>
      </c>
      <c r="AF55" s="76" t="s">
        <v>450</v>
      </c>
      <c r="AG55" s="77" t="s">
        <v>35</v>
      </c>
      <c r="AH55" s="77" t="s">
        <v>35</v>
      </c>
      <c r="AI55" s="76" t="s">
        <v>449</v>
      </c>
      <c r="AJ55" s="77" t="s">
        <v>448</v>
      </c>
      <c r="AK55" s="76" t="s">
        <v>447</v>
      </c>
      <c r="AL55" s="76" t="s">
        <v>446</v>
      </c>
      <c r="AM55" s="77" t="s">
        <v>445</v>
      </c>
      <c r="AN55" s="76" t="s">
        <v>444</v>
      </c>
      <c r="AO55" s="76" t="s">
        <v>443</v>
      </c>
      <c r="AP55" s="76" t="s">
        <v>442</v>
      </c>
      <c r="AQ55" s="76" t="s">
        <v>441</v>
      </c>
      <c r="AR55" s="76" t="s">
        <v>440</v>
      </c>
      <c r="AS55" s="76" t="s">
        <v>439</v>
      </c>
      <c r="AT55" s="77" t="s">
        <v>438</v>
      </c>
      <c r="AU55" s="77" t="s">
        <v>437</v>
      </c>
      <c r="AV55" s="77" t="s">
        <v>436</v>
      </c>
      <c r="AW55" s="77" t="s">
        <v>435</v>
      </c>
      <c r="AX55" s="77" t="s">
        <v>434</v>
      </c>
      <c r="AY55" s="77" t="s">
        <v>433</v>
      </c>
      <c r="AZ55" s="76" t="s">
        <v>432</v>
      </c>
      <c r="BA55" s="76" t="s">
        <v>431</v>
      </c>
      <c r="BB55" s="76" t="s">
        <v>430</v>
      </c>
      <c r="BC55" s="77" t="s">
        <v>429</v>
      </c>
      <c r="BD55" s="76" t="s">
        <v>428</v>
      </c>
      <c r="BE55" s="76" t="s">
        <v>427</v>
      </c>
      <c r="BF55" s="76" t="s">
        <v>426</v>
      </c>
      <c r="BG55" s="77" t="s">
        <v>425</v>
      </c>
      <c r="BH55" s="77" t="s">
        <v>424</v>
      </c>
      <c r="BI55" s="77" t="s">
        <v>423</v>
      </c>
      <c r="BJ55" s="51" t="s">
        <v>35</v>
      </c>
      <c r="BK55" s="77" t="s">
        <v>422</v>
      </c>
      <c r="BL55" s="77" t="s">
        <v>421</v>
      </c>
      <c r="BM55" s="76" t="s">
        <v>420</v>
      </c>
      <c r="BN55" s="76" t="s">
        <v>419</v>
      </c>
      <c r="BO55" s="76" t="s">
        <v>418</v>
      </c>
      <c r="BP55" s="77" t="s">
        <v>35</v>
      </c>
      <c r="BQ55" s="77" t="s">
        <v>35</v>
      </c>
      <c r="BR55" s="76" t="s">
        <v>417</v>
      </c>
      <c r="BS55" s="76" t="s">
        <v>416</v>
      </c>
      <c r="BT55" s="76" t="s">
        <v>415</v>
      </c>
      <c r="BU55" s="76" t="s">
        <v>414</v>
      </c>
      <c r="BV55" s="76" t="s">
        <v>413</v>
      </c>
      <c r="BW55" s="77" t="s">
        <v>412</v>
      </c>
      <c r="BX55" s="76" t="s">
        <v>411</v>
      </c>
      <c r="BY55" s="76" t="s">
        <v>410</v>
      </c>
      <c r="BZ55" s="77" t="s">
        <v>409</v>
      </c>
      <c r="CA55" s="76" t="s">
        <v>408</v>
      </c>
      <c r="CB55" s="76" t="s">
        <v>407</v>
      </c>
      <c r="CC55" s="76" t="s">
        <v>406</v>
      </c>
      <c r="CD55" s="76" t="s">
        <v>405</v>
      </c>
      <c r="CE55" s="76" t="s">
        <v>404</v>
      </c>
      <c r="CF55" s="76" t="s">
        <v>403</v>
      </c>
      <c r="CG55" s="77" t="s">
        <v>402</v>
      </c>
      <c r="CH55" s="77" t="s">
        <v>401</v>
      </c>
      <c r="CI55" s="77" t="s">
        <v>400</v>
      </c>
      <c r="CJ55" s="77" t="s">
        <v>399</v>
      </c>
      <c r="CK55" s="77" t="s">
        <v>398</v>
      </c>
      <c r="CL55" s="77" t="s">
        <v>397</v>
      </c>
      <c r="CM55" s="76" t="s">
        <v>396</v>
      </c>
      <c r="CN55" s="76" t="s">
        <v>395</v>
      </c>
      <c r="CO55" s="76" t="s">
        <v>394</v>
      </c>
      <c r="CP55" s="77" t="s">
        <v>393</v>
      </c>
      <c r="CQ55" s="76" t="s">
        <v>392</v>
      </c>
      <c r="CR55" s="76" t="s">
        <v>391</v>
      </c>
      <c r="CS55" s="76" t="s">
        <v>390</v>
      </c>
      <c r="CT55" s="77" t="s">
        <v>389</v>
      </c>
      <c r="CU55" s="77" t="s">
        <v>388</v>
      </c>
      <c r="CV55" s="77" t="s">
        <v>387</v>
      </c>
      <c r="CW55" s="51" t="s">
        <v>35</v>
      </c>
      <c r="CX55" s="76" t="s">
        <v>35</v>
      </c>
      <c r="CY55" s="76" t="s">
        <v>35</v>
      </c>
      <c r="CZ55" s="76" t="s">
        <v>35</v>
      </c>
      <c r="DA55" s="76" t="s">
        <v>35</v>
      </c>
      <c r="DB55" s="76" t="s">
        <v>35</v>
      </c>
      <c r="DH55" s="51" t="s">
        <v>35</v>
      </c>
    </row>
    <row r="56" spans="1:112" s="63" customFormat="1" ht="57.75" customHeight="1" x14ac:dyDescent="0.25">
      <c r="A56" s="56" t="s">
        <v>386</v>
      </c>
      <c r="B56" s="55">
        <f>L84</f>
        <v>2027</v>
      </c>
      <c r="C56" s="55" t="str">
        <f>L85</f>
        <v>40%_NB Sport &amp;L Dry + 
25%_NB Sport &amp;L Wet + 
35%_NB Sport &amp;L Fit.</v>
      </c>
      <c r="D56" s="72">
        <f>L87</f>
        <v>166.2</v>
      </c>
      <c r="E56" s="72" t="str">
        <f>L88</f>
        <v>kWh/m²GIA/yr</v>
      </c>
      <c r="F56" s="51"/>
      <c r="G56" s="51"/>
      <c r="H56" s="51"/>
      <c r="I56" s="51"/>
      <c r="J56" s="51"/>
      <c r="K56" s="51"/>
      <c r="L56" s="51"/>
      <c r="M56" s="51"/>
      <c r="N56" s="51"/>
      <c r="O56" s="51"/>
      <c r="P56" s="51"/>
      <c r="Q56" s="51"/>
      <c r="R56" s="51"/>
      <c r="S56" s="51"/>
      <c r="Z56" s="63" t="s">
        <v>332</v>
      </c>
      <c r="AA56" s="51" t="s">
        <v>35</v>
      </c>
      <c r="AB56" s="73" t="s">
        <v>383</v>
      </c>
      <c r="AC56" s="73" t="s">
        <v>383</v>
      </c>
      <c r="AD56" s="73" t="s">
        <v>383</v>
      </c>
      <c r="AE56" s="73" t="s">
        <v>383</v>
      </c>
      <c r="AF56" s="73" t="s">
        <v>383</v>
      </c>
      <c r="AG56" s="75" t="s">
        <v>385</v>
      </c>
      <c r="AH56" s="75" t="s">
        <v>385</v>
      </c>
      <c r="AI56" s="73" t="s">
        <v>383</v>
      </c>
      <c r="AJ56" s="73" t="s">
        <v>383</v>
      </c>
      <c r="AK56" s="73" t="s">
        <v>383</v>
      </c>
      <c r="AL56" s="73" t="s">
        <v>383</v>
      </c>
      <c r="AM56" s="73" t="s">
        <v>383</v>
      </c>
      <c r="AN56" s="73" t="s">
        <v>383</v>
      </c>
      <c r="AO56" s="74" t="s">
        <v>384</v>
      </c>
      <c r="AP56" s="73" t="s">
        <v>383</v>
      </c>
      <c r="AQ56" s="74" t="s">
        <v>384</v>
      </c>
      <c r="AR56" s="73" t="s">
        <v>383</v>
      </c>
      <c r="AS56" s="74" t="s">
        <v>384</v>
      </c>
      <c r="AT56" s="73" t="s">
        <v>383</v>
      </c>
      <c r="AU56" s="73" t="s">
        <v>383</v>
      </c>
      <c r="AV56" s="73" t="s">
        <v>383</v>
      </c>
      <c r="AW56" s="73" t="s">
        <v>383</v>
      </c>
      <c r="AX56" s="73" t="s">
        <v>383</v>
      </c>
      <c r="AY56" s="73" t="s">
        <v>383</v>
      </c>
      <c r="AZ56" s="73" t="s">
        <v>383</v>
      </c>
      <c r="BA56" s="73" t="s">
        <v>383</v>
      </c>
      <c r="BB56" s="73" t="s">
        <v>383</v>
      </c>
      <c r="BC56" s="73" t="s">
        <v>383</v>
      </c>
      <c r="BD56" s="73" t="s">
        <v>383</v>
      </c>
      <c r="BE56" s="73" t="s">
        <v>383</v>
      </c>
      <c r="BF56" s="73" t="s">
        <v>383</v>
      </c>
      <c r="BG56" s="73" t="s">
        <v>383</v>
      </c>
      <c r="BH56" s="73" t="s">
        <v>383</v>
      </c>
      <c r="BI56" s="73" t="s">
        <v>383</v>
      </c>
      <c r="BJ56" s="51" t="s">
        <v>35</v>
      </c>
      <c r="BK56" s="73" t="s">
        <v>383</v>
      </c>
      <c r="BL56" s="73" t="s">
        <v>383</v>
      </c>
      <c r="BM56" s="73" t="s">
        <v>383</v>
      </c>
      <c r="BN56" s="73" t="s">
        <v>383</v>
      </c>
      <c r="BO56" s="73" t="s">
        <v>383</v>
      </c>
      <c r="BP56" s="75" t="s">
        <v>385</v>
      </c>
      <c r="BQ56" s="75" t="s">
        <v>385</v>
      </c>
      <c r="BR56" s="73" t="s">
        <v>383</v>
      </c>
      <c r="BS56" s="73" t="s">
        <v>383</v>
      </c>
      <c r="BT56" s="73" t="s">
        <v>383</v>
      </c>
      <c r="BU56" s="73" t="s">
        <v>383</v>
      </c>
      <c r="BV56" s="73" t="s">
        <v>383</v>
      </c>
      <c r="BW56" s="73" t="s">
        <v>383</v>
      </c>
      <c r="BX56" s="73" t="s">
        <v>383</v>
      </c>
      <c r="BY56" s="73" t="s">
        <v>383</v>
      </c>
      <c r="BZ56" s="73" t="s">
        <v>383</v>
      </c>
      <c r="CA56" s="73" t="s">
        <v>383</v>
      </c>
      <c r="CB56" s="74" t="s">
        <v>384</v>
      </c>
      <c r="CC56" s="73" t="s">
        <v>383</v>
      </c>
      <c r="CD56" s="74" t="s">
        <v>384</v>
      </c>
      <c r="CE56" s="73" t="s">
        <v>383</v>
      </c>
      <c r="CF56" s="74" t="s">
        <v>384</v>
      </c>
      <c r="CG56" s="73" t="s">
        <v>383</v>
      </c>
      <c r="CH56" s="73" t="s">
        <v>383</v>
      </c>
      <c r="CI56" s="73" t="s">
        <v>383</v>
      </c>
      <c r="CJ56" s="73" t="s">
        <v>383</v>
      </c>
      <c r="CK56" s="73" t="s">
        <v>383</v>
      </c>
      <c r="CL56" s="73" t="s">
        <v>383</v>
      </c>
      <c r="CM56" s="73" t="s">
        <v>383</v>
      </c>
      <c r="CN56" s="73" t="s">
        <v>383</v>
      </c>
      <c r="CO56" s="73" t="s">
        <v>383</v>
      </c>
      <c r="CP56" s="73" t="s">
        <v>383</v>
      </c>
      <c r="CQ56" s="73" t="s">
        <v>383</v>
      </c>
      <c r="CR56" s="73" t="s">
        <v>383</v>
      </c>
      <c r="CS56" s="73" t="s">
        <v>383</v>
      </c>
      <c r="CT56" s="73" t="s">
        <v>383</v>
      </c>
      <c r="CU56" s="73" t="s">
        <v>383</v>
      </c>
      <c r="CV56" s="73" t="s">
        <v>383</v>
      </c>
      <c r="CW56" s="51" t="s">
        <v>35</v>
      </c>
      <c r="CX56" s="73" t="str">
        <f>L75</f>
        <v>kWh/m²GIA/yr</v>
      </c>
      <c r="CY56" s="73" t="str">
        <f>L88</f>
        <v>kWh/m²GIA/yr</v>
      </c>
      <c r="CZ56" s="73" t="str">
        <f>L101</f>
        <v>kWh/m²NIA/yr</v>
      </c>
      <c r="DA56" s="73" t="str">
        <f>L114</f>
        <v>kWh/m²GIA/yr</v>
      </c>
      <c r="DB56" s="73" t="str">
        <f>L127</f>
        <v>kWh/m²GIA/yr</v>
      </c>
      <c r="DH56" s="51" t="s">
        <v>35</v>
      </c>
    </row>
    <row r="57" spans="1:112" s="51" customFormat="1" ht="57.75" customHeight="1" x14ac:dyDescent="0.25">
      <c r="A57" s="56" t="s">
        <v>382</v>
      </c>
      <c r="B57" s="55">
        <f>L84</f>
        <v>2027</v>
      </c>
      <c r="C57" s="55" t="str">
        <f>L98</f>
        <v>70%_RFOG Off. Gen. (NIA) + 
30%_NB Off. Gen. (NIA)</v>
      </c>
      <c r="D57" s="72">
        <f>L100</f>
        <v>108.89999999999999</v>
      </c>
      <c r="E57" s="55" t="str">
        <f>L101</f>
        <v>kWh/m²NIA/yr</v>
      </c>
      <c r="R57" s="63"/>
      <c r="Z57" s="63">
        <v>2025</v>
      </c>
      <c r="AA57" s="51" t="s">
        <v>35</v>
      </c>
      <c r="AB57" s="66">
        <v>75</v>
      </c>
      <c r="AC57" s="66">
        <v>150</v>
      </c>
      <c r="AD57" s="66">
        <v>80</v>
      </c>
      <c r="AE57" s="66">
        <v>60</v>
      </c>
      <c r="AF57" s="66">
        <v>5</v>
      </c>
      <c r="AG57" s="66">
        <v>1.4</v>
      </c>
      <c r="AH57" s="66">
        <v>1.2</v>
      </c>
      <c r="AI57" s="71" t="s">
        <v>35</v>
      </c>
      <c r="AJ57" s="66">
        <v>100</v>
      </c>
      <c r="AK57" s="66">
        <v>45</v>
      </c>
      <c r="AL57" s="66">
        <v>40</v>
      </c>
      <c r="AM57" s="66">
        <v>125</v>
      </c>
      <c r="AN57" s="66">
        <v>85</v>
      </c>
      <c r="AO57" s="66">
        <v>107</v>
      </c>
      <c r="AP57" s="66">
        <v>127</v>
      </c>
      <c r="AQ57" s="66">
        <v>159</v>
      </c>
      <c r="AR57" s="66">
        <v>147</v>
      </c>
      <c r="AS57" s="66">
        <v>184</v>
      </c>
      <c r="AT57" s="66">
        <v>200</v>
      </c>
      <c r="AU57" s="66">
        <v>70</v>
      </c>
      <c r="AV57" s="66">
        <v>215</v>
      </c>
      <c r="AW57" s="66">
        <v>380</v>
      </c>
      <c r="AX57" s="66">
        <v>55</v>
      </c>
      <c r="AY57" s="66">
        <v>80</v>
      </c>
      <c r="AZ57" s="66">
        <v>50</v>
      </c>
      <c r="BA57" s="66">
        <v>45</v>
      </c>
      <c r="BB57" s="66">
        <v>60</v>
      </c>
      <c r="BC57" s="66">
        <v>305</v>
      </c>
      <c r="BD57" s="66">
        <v>80</v>
      </c>
      <c r="BE57" s="66">
        <v>350</v>
      </c>
      <c r="BF57" s="66">
        <v>150</v>
      </c>
      <c r="BG57" s="66">
        <v>35</v>
      </c>
      <c r="BH57" s="66">
        <v>80</v>
      </c>
      <c r="BI57" s="66">
        <v>160</v>
      </c>
      <c r="BJ57" s="51" t="s">
        <v>35</v>
      </c>
      <c r="BK57" s="66">
        <v>110</v>
      </c>
      <c r="BL57" s="66">
        <v>220</v>
      </c>
      <c r="BM57" s="66">
        <v>130</v>
      </c>
      <c r="BN57" s="66">
        <v>100</v>
      </c>
      <c r="BO57" s="66">
        <v>10</v>
      </c>
      <c r="BP57" s="66">
        <v>1.4</v>
      </c>
      <c r="BQ57" s="66">
        <v>1.2</v>
      </c>
      <c r="BR57" s="66">
        <v>258</v>
      </c>
      <c r="BS57" s="66">
        <v>140</v>
      </c>
      <c r="BT57" s="66">
        <v>162</v>
      </c>
      <c r="BU57" s="66">
        <v>166</v>
      </c>
      <c r="BV57" s="66">
        <v>182</v>
      </c>
      <c r="BW57" s="66">
        <v>130</v>
      </c>
      <c r="BX57" s="66">
        <v>75</v>
      </c>
      <c r="BY57" s="66">
        <v>65</v>
      </c>
      <c r="BZ57" s="66">
        <v>180</v>
      </c>
      <c r="CA57" s="66">
        <v>100</v>
      </c>
      <c r="CB57" s="66">
        <v>125</v>
      </c>
      <c r="CC57" s="66">
        <v>191</v>
      </c>
      <c r="CD57" s="66">
        <v>239</v>
      </c>
      <c r="CE57" s="66">
        <v>220</v>
      </c>
      <c r="CF57" s="66">
        <v>275</v>
      </c>
      <c r="CG57" s="66">
        <v>230</v>
      </c>
      <c r="CH57" s="66">
        <v>90</v>
      </c>
      <c r="CI57" s="66">
        <v>250</v>
      </c>
      <c r="CJ57" s="66">
        <v>450</v>
      </c>
      <c r="CK57" s="66">
        <v>80</v>
      </c>
      <c r="CL57" s="66">
        <v>100</v>
      </c>
      <c r="CM57" s="66">
        <v>90</v>
      </c>
      <c r="CN57" s="66">
        <v>85</v>
      </c>
      <c r="CO57" s="66">
        <v>95</v>
      </c>
      <c r="CP57" s="66">
        <v>360</v>
      </c>
      <c r="CQ57" s="66">
        <v>210</v>
      </c>
      <c r="CR57" s="66">
        <v>500</v>
      </c>
      <c r="CS57" s="66">
        <v>280</v>
      </c>
      <c r="CT57" s="66">
        <v>35</v>
      </c>
      <c r="CU57" s="66">
        <v>100</v>
      </c>
      <c r="CV57" s="66">
        <v>230</v>
      </c>
      <c r="CW57" s="66" t="s">
        <v>35</v>
      </c>
      <c r="CX57" s="68">
        <f t="shared" ref="CX57:CX73" si="2">SUMPRODUCT($AB57:$CV57,$AB$75:$CV$75)</f>
        <v>44.25</v>
      </c>
      <c r="CY57" s="68">
        <f t="shared" ref="CY57:CY73" si="3">SUMPRODUCT($AB57:$CV57,$AB$76:$CV$76)</f>
        <v>172</v>
      </c>
      <c r="CZ57" s="68">
        <f t="shared" ref="CZ57:CZ73" si="4">SUMPRODUCT($AB57:$CV57,$AB$77:$CV$77)</f>
        <v>119.6</v>
      </c>
      <c r="DA57" s="68">
        <f t="shared" ref="DA57:DA73" si="5">SUMPRODUCT($AB57:$CV57,$AB$78:$CV$78)</f>
        <v>101.4</v>
      </c>
      <c r="DB57" s="68">
        <f t="shared" ref="DB57:DB73" si="6">SUMPRODUCT($AB57:$CV57,$AB$79:$CV$79)</f>
        <v>141</v>
      </c>
      <c r="DC57" s="68"/>
      <c r="DD57" s="68"/>
      <c r="DH57" s="51" t="s">
        <v>35</v>
      </c>
    </row>
    <row r="58" spans="1:112" s="51" customFormat="1" ht="57.75" customHeight="1" x14ac:dyDescent="0.25">
      <c r="A58" s="56" t="s">
        <v>381</v>
      </c>
      <c r="B58" s="55">
        <f>L110</f>
        <v>2028</v>
      </c>
      <c r="C58" s="55" t="str">
        <f>L111</f>
        <v>70%_RFOG Off. Gen. (GIA) + 
28%_NB Off. Gen. (GIA) + 
2%_NB Retail FB inc. Cater.</v>
      </c>
      <c r="D58" s="72">
        <f>L113</f>
        <v>92.219999999999985</v>
      </c>
      <c r="E58" s="55" t="str">
        <f>L114</f>
        <v>kWh/m²GIA/yr</v>
      </c>
      <c r="Z58" s="63">
        <v>2026</v>
      </c>
      <c r="AA58" s="51" t="s">
        <v>35</v>
      </c>
      <c r="AB58" s="66">
        <v>74</v>
      </c>
      <c r="AC58" s="66">
        <v>147</v>
      </c>
      <c r="AD58" s="66">
        <v>79</v>
      </c>
      <c r="AE58" s="66">
        <v>59</v>
      </c>
      <c r="AF58" s="66">
        <v>5</v>
      </c>
      <c r="AG58" s="66">
        <v>1.4</v>
      </c>
      <c r="AH58" s="66">
        <v>1.2</v>
      </c>
      <c r="AI58" s="71" t="s">
        <v>35</v>
      </c>
      <c r="AJ58" s="66">
        <v>98</v>
      </c>
      <c r="AK58" s="66">
        <v>45</v>
      </c>
      <c r="AL58" s="66">
        <v>40</v>
      </c>
      <c r="AM58" s="66">
        <v>122</v>
      </c>
      <c r="AN58" s="66">
        <v>83</v>
      </c>
      <c r="AO58" s="66">
        <v>104</v>
      </c>
      <c r="AP58" s="66">
        <v>123</v>
      </c>
      <c r="AQ58" s="66">
        <v>154</v>
      </c>
      <c r="AR58" s="66">
        <v>143</v>
      </c>
      <c r="AS58" s="66">
        <v>179</v>
      </c>
      <c r="AT58" s="66">
        <v>194</v>
      </c>
      <c r="AU58" s="66">
        <v>68</v>
      </c>
      <c r="AV58" s="66">
        <v>209</v>
      </c>
      <c r="AW58" s="66">
        <v>370</v>
      </c>
      <c r="AX58" s="66">
        <v>54</v>
      </c>
      <c r="AY58" s="66">
        <v>78</v>
      </c>
      <c r="AZ58" s="66">
        <v>50</v>
      </c>
      <c r="BA58" s="66">
        <v>45</v>
      </c>
      <c r="BB58" s="66">
        <v>59</v>
      </c>
      <c r="BC58" s="66">
        <v>297</v>
      </c>
      <c r="BD58" s="66">
        <v>79</v>
      </c>
      <c r="BE58" s="66">
        <v>344</v>
      </c>
      <c r="BF58" s="66">
        <v>148</v>
      </c>
      <c r="BG58" s="66">
        <v>34</v>
      </c>
      <c r="BH58" s="66">
        <v>78</v>
      </c>
      <c r="BI58" s="66">
        <v>154</v>
      </c>
      <c r="BJ58" s="51" t="s">
        <v>35</v>
      </c>
      <c r="BK58" s="66">
        <v>108</v>
      </c>
      <c r="BL58" s="66">
        <v>216</v>
      </c>
      <c r="BM58" s="66">
        <v>128</v>
      </c>
      <c r="BN58" s="66">
        <v>98</v>
      </c>
      <c r="BO58" s="66">
        <v>10</v>
      </c>
      <c r="BP58" s="66">
        <v>1.4</v>
      </c>
      <c r="BQ58" s="66">
        <v>1.2</v>
      </c>
      <c r="BR58" s="66">
        <v>259</v>
      </c>
      <c r="BS58" s="66">
        <v>140</v>
      </c>
      <c r="BT58" s="66">
        <v>163</v>
      </c>
      <c r="BU58" s="66">
        <v>167</v>
      </c>
      <c r="BV58" s="66">
        <v>182</v>
      </c>
      <c r="BW58" s="66">
        <v>127</v>
      </c>
      <c r="BX58" s="66">
        <v>74</v>
      </c>
      <c r="BY58" s="66">
        <v>65</v>
      </c>
      <c r="BZ58" s="66">
        <v>176</v>
      </c>
      <c r="CA58" s="66">
        <v>97</v>
      </c>
      <c r="CB58" s="66">
        <v>122</v>
      </c>
      <c r="CC58" s="66">
        <v>187</v>
      </c>
      <c r="CD58" s="66">
        <v>234</v>
      </c>
      <c r="CE58" s="66">
        <v>216</v>
      </c>
      <c r="CF58" s="66">
        <v>270</v>
      </c>
      <c r="CG58" s="66">
        <v>224</v>
      </c>
      <c r="CH58" s="66">
        <v>87</v>
      </c>
      <c r="CI58" s="66">
        <v>243</v>
      </c>
      <c r="CJ58" s="66">
        <v>438</v>
      </c>
      <c r="CK58" s="66">
        <v>79</v>
      </c>
      <c r="CL58" s="66">
        <v>97</v>
      </c>
      <c r="CM58" s="66">
        <v>89</v>
      </c>
      <c r="CN58" s="66">
        <v>84</v>
      </c>
      <c r="CO58" s="66">
        <v>94</v>
      </c>
      <c r="CP58" s="66">
        <v>351</v>
      </c>
      <c r="CQ58" s="66">
        <v>206</v>
      </c>
      <c r="CR58" s="66">
        <v>490</v>
      </c>
      <c r="CS58" s="66">
        <v>275</v>
      </c>
      <c r="CT58" s="66">
        <v>34</v>
      </c>
      <c r="CU58" s="66">
        <v>97</v>
      </c>
      <c r="CV58" s="66">
        <v>221</v>
      </c>
      <c r="CW58" s="66" t="s">
        <v>35</v>
      </c>
      <c r="CX58" s="68">
        <f t="shared" si="2"/>
        <v>44.25</v>
      </c>
      <c r="CY58" s="68">
        <f t="shared" si="3"/>
        <v>169.39999999999998</v>
      </c>
      <c r="CZ58" s="68">
        <f t="shared" si="4"/>
        <v>116.6</v>
      </c>
      <c r="DA58" s="68">
        <f t="shared" si="5"/>
        <v>98.539999999999992</v>
      </c>
      <c r="DB58" s="68">
        <f t="shared" si="6"/>
        <v>138</v>
      </c>
      <c r="DC58" s="68"/>
      <c r="DD58" s="68"/>
      <c r="DH58" s="51" t="s">
        <v>35</v>
      </c>
    </row>
    <row r="59" spans="1:112" s="51" customFormat="1" ht="57.75" customHeight="1" x14ac:dyDescent="0.25">
      <c r="A59" s="56" t="s">
        <v>380</v>
      </c>
      <c r="B59" s="55">
        <f>L123</f>
        <v>2030</v>
      </c>
      <c r="C59" s="55" t="str">
        <f>L124</f>
        <v>20%_RFOG High. Ed. + 
70%_RFOG Stud. Resi. + 
10%_NB Retail FB inc. Cater.</v>
      </c>
      <c r="D59" s="72">
        <f>L126</f>
        <v>124.4</v>
      </c>
      <c r="E59" s="55" t="str">
        <f>L127</f>
        <v>kWh/m²GIA/yr</v>
      </c>
      <c r="Z59" s="63">
        <v>2027</v>
      </c>
      <c r="AA59" s="51" t="s">
        <v>35</v>
      </c>
      <c r="AB59" s="66">
        <v>72</v>
      </c>
      <c r="AC59" s="66">
        <v>144</v>
      </c>
      <c r="AD59" s="66">
        <v>77</v>
      </c>
      <c r="AE59" s="66">
        <v>58</v>
      </c>
      <c r="AF59" s="66">
        <v>5</v>
      </c>
      <c r="AG59" s="66">
        <v>1.39</v>
      </c>
      <c r="AH59" s="66">
        <v>1.19</v>
      </c>
      <c r="AI59" s="71" t="s">
        <v>35</v>
      </c>
      <c r="AJ59" s="66">
        <v>95</v>
      </c>
      <c r="AK59" s="66">
        <v>44</v>
      </c>
      <c r="AL59" s="66">
        <v>40</v>
      </c>
      <c r="AM59" s="66">
        <v>119</v>
      </c>
      <c r="AN59" s="66">
        <v>80</v>
      </c>
      <c r="AO59" s="66">
        <v>100</v>
      </c>
      <c r="AP59" s="66">
        <v>119</v>
      </c>
      <c r="AQ59" s="66">
        <v>149</v>
      </c>
      <c r="AR59" s="66">
        <v>138</v>
      </c>
      <c r="AS59" s="66">
        <v>173</v>
      </c>
      <c r="AT59" s="66">
        <v>188</v>
      </c>
      <c r="AU59" s="66">
        <v>66</v>
      </c>
      <c r="AV59" s="66">
        <v>202</v>
      </c>
      <c r="AW59" s="66">
        <v>359</v>
      </c>
      <c r="AX59" s="66">
        <v>53</v>
      </c>
      <c r="AY59" s="66">
        <v>75</v>
      </c>
      <c r="AZ59" s="66">
        <v>49</v>
      </c>
      <c r="BA59" s="66">
        <v>44</v>
      </c>
      <c r="BB59" s="66">
        <v>58</v>
      </c>
      <c r="BC59" s="66">
        <v>289</v>
      </c>
      <c r="BD59" s="66">
        <v>78</v>
      </c>
      <c r="BE59" s="66">
        <v>337</v>
      </c>
      <c r="BF59" s="66">
        <v>145</v>
      </c>
      <c r="BG59" s="66">
        <v>33</v>
      </c>
      <c r="BH59" s="66">
        <v>75</v>
      </c>
      <c r="BI59" s="66">
        <v>148</v>
      </c>
      <c r="BJ59" s="51" t="s">
        <v>35</v>
      </c>
      <c r="BK59" s="66">
        <v>106</v>
      </c>
      <c r="BL59" s="66">
        <v>211</v>
      </c>
      <c r="BM59" s="66">
        <v>125</v>
      </c>
      <c r="BN59" s="66">
        <v>96</v>
      </c>
      <c r="BO59" s="66">
        <v>10</v>
      </c>
      <c r="BP59" s="66">
        <v>1.39</v>
      </c>
      <c r="BQ59" s="66">
        <v>1.19</v>
      </c>
      <c r="BR59" s="66">
        <v>259</v>
      </c>
      <c r="BS59" s="66">
        <v>140</v>
      </c>
      <c r="BT59" s="66">
        <v>163</v>
      </c>
      <c r="BU59" s="66">
        <v>167</v>
      </c>
      <c r="BV59" s="66">
        <v>182</v>
      </c>
      <c r="BW59" s="66">
        <v>123</v>
      </c>
      <c r="BX59" s="66">
        <v>73</v>
      </c>
      <c r="BY59" s="66">
        <v>64</v>
      </c>
      <c r="BZ59" s="66">
        <v>172</v>
      </c>
      <c r="CA59" s="66">
        <v>94</v>
      </c>
      <c r="CB59" s="66">
        <v>118</v>
      </c>
      <c r="CC59" s="66">
        <v>183</v>
      </c>
      <c r="CD59" s="66">
        <v>229</v>
      </c>
      <c r="CE59" s="66">
        <v>211</v>
      </c>
      <c r="CF59" s="66">
        <v>264</v>
      </c>
      <c r="CG59" s="66">
        <v>217</v>
      </c>
      <c r="CH59" s="66">
        <v>84</v>
      </c>
      <c r="CI59" s="66">
        <v>236</v>
      </c>
      <c r="CJ59" s="66">
        <v>425</v>
      </c>
      <c r="CK59" s="66">
        <v>77</v>
      </c>
      <c r="CL59" s="66">
        <v>94</v>
      </c>
      <c r="CM59" s="66">
        <v>88</v>
      </c>
      <c r="CN59" s="66">
        <v>83</v>
      </c>
      <c r="CO59" s="66">
        <v>92</v>
      </c>
      <c r="CP59" s="66">
        <v>341</v>
      </c>
      <c r="CQ59" s="66">
        <v>202</v>
      </c>
      <c r="CR59" s="66">
        <v>480</v>
      </c>
      <c r="CS59" s="66">
        <v>270</v>
      </c>
      <c r="CT59" s="66">
        <v>33</v>
      </c>
      <c r="CU59" s="66">
        <v>94</v>
      </c>
      <c r="CV59" s="66">
        <v>211</v>
      </c>
      <c r="CW59" s="66" t="s">
        <v>35</v>
      </c>
      <c r="CX59" s="68">
        <f t="shared" si="2"/>
        <v>43.65</v>
      </c>
      <c r="CY59" s="68">
        <f t="shared" si="3"/>
        <v>166.2</v>
      </c>
      <c r="CZ59" s="68">
        <f t="shared" si="4"/>
        <v>112.6</v>
      </c>
      <c r="DA59" s="68">
        <f t="shared" si="5"/>
        <v>95.38</v>
      </c>
      <c r="DB59" s="68">
        <f t="shared" si="6"/>
        <v>134.69999999999999</v>
      </c>
      <c r="DC59" s="68"/>
      <c r="DD59" s="68"/>
      <c r="DH59" s="51" t="s">
        <v>35</v>
      </c>
    </row>
    <row r="60" spans="1:112" x14ac:dyDescent="0.25">
      <c r="C60" s="64"/>
      <c r="Z60" s="64">
        <v>2028</v>
      </c>
      <c r="AA60" s="50" t="s">
        <v>35</v>
      </c>
      <c r="AB60" s="67">
        <v>70</v>
      </c>
      <c r="AC60" s="67">
        <v>140</v>
      </c>
      <c r="AD60" s="67">
        <v>75</v>
      </c>
      <c r="AE60" s="67">
        <v>56</v>
      </c>
      <c r="AF60" s="67">
        <v>5</v>
      </c>
      <c r="AG60" s="67">
        <v>1.38</v>
      </c>
      <c r="AH60" s="67">
        <v>1.18</v>
      </c>
      <c r="AI60" s="70" t="s">
        <v>35</v>
      </c>
      <c r="AJ60" s="67">
        <v>92</v>
      </c>
      <c r="AK60" s="67">
        <v>43</v>
      </c>
      <c r="AL60" s="67">
        <v>39</v>
      </c>
      <c r="AM60" s="67">
        <v>116</v>
      </c>
      <c r="AN60" s="67">
        <v>77</v>
      </c>
      <c r="AO60" s="67">
        <v>97</v>
      </c>
      <c r="AP60" s="67">
        <v>115</v>
      </c>
      <c r="AQ60" s="67">
        <v>144</v>
      </c>
      <c r="AR60" s="67">
        <v>133</v>
      </c>
      <c r="AS60" s="67">
        <v>167</v>
      </c>
      <c r="AT60" s="67">
        <v>182</v>
      </c>
      <c r="AU60" s="67">
        <v>63</v>
      </c>
      <c r="AV60" s="67">
        <v>195</v>
      </c>
      <c r="AW60" s="67">
        <v>348</v>
      </c>
      <c r="AX60" s="67">
        <v>52</v>
      </c>
      <c r="AY60" s="67">
        <v>72</v>
      </c>
      <c r="AZ60" s="67">
        <v>48</v>
      </c>
      <c r="BA60" s="67">
        <v>43</v>
      </c>
      <c r="BB60" s="67">
        <v>57</v>
      </c>
      <c r="BC60" s="67">
        <v>280</v>
      </c>
      <c r="BD60" s="67">
        <v>76</v>
      </c>
      <c r="BE60" s="67">
        <v>330</v>
      </c>
      <c r="BF60" s="67">
        <v>142</v>
      </c>
      <c r="BG60" s="67">
        <v>32</v>
      </c>
      <c r="BH60" s="67">
        <v>72</v>
      </c>
      <c r="BI60" s="67">
        <v>141</v>
      </c>
      <c r="BJ60" s="50" t="s">
        <v>35</v>
      </c>
      <c r="BK60" s="67">
        <v>103</v>
      </c>
      <c r="BL60" s="67">
        <v>206</v>
      </c>
      <c r="BM60" s="67">
        <v>122</v>
      </c>
      <c r="BN60" s="67">
        <v>93</v>
      </c>
      <c r="BO60" s="67">
        <v>10</v>
      </c>
      <c r="BP60" s="67">
        <v>1.38</v>
      </c>
      <c r="BQ60" s="67">
        <v>1.18</v>
      </c>
      <c r="BR60" s="67">
        <v>259</v>
      </c>
      <c r="BS60" s="67">
        <v>140</v>
      </c>
      <c r="BT60" s="67">
        <v>163</v>
      </c>
      <c r="BU60" s="67">
        <v>167</v>
      </c>
      <c r="BV60" s="67">
        <v>182</v>
      </c>
      <c r="BW60" s="67">
        <v>119</v>
      </c>
      <c r="BX60" s="67">
        <v>72</v>
      </c>
      <c r="BY60" s="67">
        <v>64</v>
      </c>
      <c r="BZ60" s="67">
        <v>168</v>
      </c>
      <c r="CA60" s="67">
        <v>91</v>
      </c>
      <c r="CB60" s="67">
        <v>114</v>
      </c>
      <c r="CC60" s="67">
        <v>179</v>
      </c>
      <c r="CD60" s="67">
        <v>224</v>
      </c>
      <c r="CE60" s="67">
        <v>206</v>
      </c>
      <c r="CF60" s="67">
        <v>258</v>
      </c>
      <c r="CG60" s="67">
        <v>210</v>
      </c>
      <c r="CH60" s="67">
        <v>81</v>
      </c>
      <c r="CI60" s="67">
        <v>228</v>
      </c>
      <c r="CJ60" s="67">
        <v>412</v>
      </c>
      <c r="CK60" s="67">
        <v>75</v>
      </c>
      <c r="CL60" s="67">
        <v>90</v>
      </c>
      <c r="CM60" s="67">
        <v>86</v>
      </c>
      <c r="CN60" s="67">
        <v>81</v>
      </c>
      <c r="CO60" s="67">
        <v>90</v>
      </c>
      <c r="CP60" s="67">
        <v>331</v>
      </c>
      <c r="CQ60" s="67">
        <v>198</v>
      </c>
      <c r="CR60" s="67">
        <v>470</v>
      </c>
      <c r="CS60" s="67">
        <v>264</v>
      </c>
      <c r="CT60" s="67">
        <v>32</v>
      </c>
      <c r="CU60" s="67">
        <v>90</v>
      </c>
      <c r="CV60" s="67">
        <v>201</v>
      </c>
      <c r="CW60" s="67" t="s">
        <v>35</v>
      </c>
      <c r="CX60" s="69">
        <f t="shared" si="2"/>
        <v>42.65</v>
      </c>
      <c r="CY60" s="69">
        <f t="shared" si="3"/>
        <v>162.6</v>
      </c>
      <c r="CZ60" s="69">
        <f t="shared" si="4"/>
        <v>108.89999999999999</v>
      </c>
      <c r="DA60" s="69">
        <f t="shared" si="5"/>
        <v>92.22</v>
      </c>
      <c r="DB60" s="68">
        <f t="shared" si="6"/>
        <v>130.70000000000002</v>
      </c>
      <c r="DC60" s="68"/>
      <c r="DD60" s="68"/>
      <c r="DH60" s="50" t="s">
        <v>35</v>
      </c>
    </row>
    <row r="61" spans="1:112" x14ac:dyDescent="0.25">
      <c r="C61" s="64"/>
      <c r="Z61" s="64">
        <v>2029</v>
      </c>
      <c r="AA61" s="50" t="s">
        <v>35</v>
      </c>
      <c r="AB61" s="67">
        <v>69</v>
      </c>
      <c r="AC61" s="67">
        <v>137</v>
      </c>
      <c r="AD61" s="67">
        <v>74</v>
      </c>
      <c r="AE61" s="67">
        <v>55</v>
      </c>
      <c r="AF61" s="67">
        <v>5</v>
      </c>
      <c r="AG61" s="67">
        <v>1.38</v>
      </c>
      <c r="AH61" s="67">
        <v>1.18</v>
      </c>
      <c r="AI61" s="70" t="s">
        <v>35</v>
      </c>
      <c r="AJ61" s="67">
        <v>90</v>
      </c>
      <c r="AK61" s="67">
        <v>43</v>
      </c>
      <c r="AL61" s="67">
        <v>39</v>
      </c>
      <c r="AM61" s="67">
        <v>113</v>
      </c>
      <c r="AN61" s="67">
        <v>75</v>
      </c>
      <c r="AO61" s="67">
        <v>94</v>
      </c>
      <c r="AP61" s="67">
        <v>111</v>
      </c>
      <c r="AQ61" s="67">
        <v>139</v>
      </c>
      <c r="AR61" s="67">
        <v>128</v>
      </c>
      <c r="AS61" s="67">
        <v>160</v>
      </c>
      <c r="AT61" s="67">
        <v>176</v>
      </c>
      <c r="AU61" s="67">
        <v>61</v>
      </c>
      <c r="AV61" s="67">
        <v>189</v>
      </c>
      <c r="AW61" s="67">
        <v>338</v>
      </c>
      <c r="AX61" s="67">
        <v>51</v>
      </c>
      <c r="AY61" s="67">
        <v>70</v>
      </c>
      <c r="AZ61" s="67">
        <v>48</v>
      </c>
      <c r="BA61" s="67">
        <v>43</v>
      </c>
      <c r="BB61" s="67">
        <v>56</v>
      </c>
      <c r="BC61" s="67">
        <v>272</v>
      </c>
      <c r="BD61" s="67">
        <v>75</v>
      </c>
      <c r="BE61" s="67">
        <v>324</v>
      </c>
      <c r="BF61" s="67">
        <v>140</v>
      </c>
      <c r="BG61" s="67">
        <v>31</v>
      </c>
      <c r="BH61" s="67">
        <v>70</v>
      </c>
      <c r="BI61" s="67">
        <v>135</v>
      </c>
      <c r="BJ61" s="50" t="s">
        <v>35</v>
      </c>
      <c r="BK61" s="67">
        <v>101</v>
      </c>
      <c r="BL61" s="67">
        <v>202</v>
      </c>
      <c r="BM61" s="67">
        <v>120</v>
      </c>
      <c r="BN61" s="67">
        <v>91</v>
      </c>
      <c r="BO61" s="67">
        <v>10</v>
      </c>
      <c r="BP61" s="67">
        <v>1.38</v>
      </c>
      <c r="BQ61" s="67">
        <v>1.18</v>
      </c>
      <c r="BR61" s="67">
        <v>259</v>
      </c>
      <c r="BS61" s="67">
        <v>140</v>
      </c>
      <c r="BT61" s="67">
        <v>163</v>
      </c>
      <c r="BU61" s="67">
        <v>167</v>
      </c>
      <c r="BV61" s="67">
        <v>182</v>
      </c>
      <c r="BW61" s="67">
        <v>116</v>
      </c>
      <c r="BX61" s="67">
        <v>71</v>
      </c>
      <c r="BY61" s="67">
        <v>63</v>
      </c>
      <c r="BZ61" s="67">
        <v>164</v>
      </c>
      <c r="CA61" s="67">
        <v>88</v>
      </c>
      <c r="CB61" s="67">
        <v>110</v>
      </c>
      <c r="CC61" s="67">
        <v>174</v>
      </c>
      <c r="CD61" s="67">
        <v>218</v>
      </c>
      <c r="CE61" s="67">
        <v>201</v>
      </c>
      <c r="CF61" s="67">
        <v>252</v>
      </c>
      <c r="CG61" s="67">
        <v>204</v>
      </c>
      <c r="CH61" s="67">
        <v>78</v>
      </c>
      <c r="CI61" s="67">
        <v>221</v>
      </c>
      <c r="CJ61" s="67">
        <v>400</v>
      </c>
      <c r="CK61" s="67">
        <v>74</v>
      </c>
      <c r="CL61" s="67">
        <v>87</v>
      </c>
      <c r="CM61" s="67">
        <v>85</v>
      </c>
      <c r="CN61" s="67">
        <v>80</v>
      </c>
      <c r="CO61" s="67">
        <v>89</v>
      </c>
      <c r="CP61" s="67">
        <v>322</v>
      </c>
      <c r="CQ61" s="67">
        <v>194</v>
      </c>
      <c r="CR61" s="67">
        <v>460</v>
      </c>
      <c r="CS61" s="67">
        <v>259</v>
      </c>
      <c r="CT61" s="67">
        <v>31</v>
      </c>
      <c r="CU61" s="67">
        <v>87</v>
      </c>
      <c r="CV61" s="67">
        <v>192</v>
      </c>
      <c r="CW61" s="67" t="s">
        <v>35</v>
      </c>
      <c r="CX61" s="69">
        <f t="shared" si="2"/>
        <v>42.65</v>
      </c>
      <c r="CY61" s="69">
        <f t="shared" si="3"/>
        <v>160</v>
      </c>
      <c r="CZ61" s="69">
        <f t="shared" si="4"/>
        <v>105.2</v>
      </c>
      <c r="DA61" s="69">
        <f t="shared" si="5"/>
        <v>89.36</v>
      </c>
      <c r="DB61" s="68">
        <f t="shared" si="6"/>
        <v>127.7</v>
      </c>
      <c r="DC61" s="68"/>
      <c r="DD61" s="68"/>
      <c r="DH61" s="50" t="s">
        <v>35</v>
      </c>
    </row>
    <row r="62" spans="1:112" x14ac:dyDescent="0.25">
      <c r="C62" s="64"/>
      <c r="Z62" s="64">
        <v>2030</v>
      </c>
      <c r="AA62" s="50" t="s">
        <v>35</v>
      </c>
      <c r="AB62" s="67">
        <v>67</v>
      </c>
      <c r="AC62" s="67">
        <v>134</v>
      </c>
      <c r="AD62" s="67">
        <v>72</v>
      </c>
      <c r="AE62" s="67">
        <v>54</v>
      </c>
      <c r="AF62" s="67">
        <v>5</v>
      </c>
      <c r="AG62" s="67">
        <v>1.37</v>
      </c>
      <c r="AH62" s="67">
        <v>1.17</v>
      </c>
      <c r="AI62" s="70" t="s">
        <v>35</v>
      </c>
      <c r="AJ62" s="67">
        <v>87</v>
      </c>
      <c r="AK62" s="67">
        <v>42</v>
      </c>
      <c r="AL62" s="67">
        <v>39</v>
      </c>
      <c r="AM62" s="67">
        <v>110</v>
      </c>
      <c r="AN62" s="67">
        <v>72</v>
      </c>
      <c r="AO62" s="67">
        <v>90</v>
      </c>
      <c r="AP62" s="67">
        <v>106</v>
      </c>
      <c r="AQ62" s="67">
        <v>133</v>
      </c>
      <c r="AR62" s="67">
        <v>123</v>
      </c>
      <c r="AS62" s="67">
        <v>154</v>
      </c>
      <c r="AT62" s="67">
        <v>170</v>
      </c>
      <c r="AU62" s="67">
        <v>59</v>
      </c>
      <c r="AV62" s="67">
        <v>182</v>
      </c>
      <c r="AW62" s="67">
        <v>327</v>
      </c>
      <c r="AX62" s="67">
        <v>50</v>
      </c>
      <c r="AY62" s="67">
        <v>67</v>
      </c>
      <c r="AZ62" s="67">
        <v>47</v>
      </c>
      <c r="BA62" s="67">
        <v>42</v>
      </c>
      <c r="BB62" s="67">
        <v>55</v>
      </c>
      <c r="BC62" s="67">
        <v>264</v>
      </c>
      <c r="BD62" s="67">
        <v>74</v>
      </c>
      <c r="BE62" s="67">
        <v>317</v>
      </c>
      <c r="BF62" s="67">
        <v>137</v>
      </c>
      <c r="BG62" s="67">
        <v>30</v>
      </c>
      <c r="BH62" s="67">
        <v>67</v>
      </c>
      <c r="BI62" s="67">
        <v>129</v>
      </c>
      <c r="BJ62" s="50" t="s">
        <v>35</v>
      </c>
      <c r="BK62" s="67">
        <v>99</v>
      </c>
      <c r="BL62" s="67">
        <v>197</v>
      </c>
      <c r="BM62" s="67">
        <v>117</v>
      </c>
      <c r="BN62" s="67">
        <v>89</v>
      </c>
      <c r="BO62" s="67">
        <v>9</v>
      </c>
      <c r="BP62" s="67">
        <v>1.37</v>
      </c>
      <c r="BQ62" s="67">
        <v>1.17</v>
      </c>
      <c r="BR62" s="67">
        <v>259</v>
      </c>
      <c r="BS62" s="67">
        <v>140</v>
      </c>
      <c r="BT62" s="67">
        <v>163</v>
      </c>
      <c r="BU62" s="67">
        <v>167</v>
      </c>
      <c r="BV62" s="67">
        <v>182</v>
      </c>
      <c r="BW62" s="67">
        <v>112</v>
      </c>
      <c r="BX62" s="67">
        <v>70</v>
      </c>
      <c r="BY62" s="67">
        <v>63</v>
      </c>
      <c r="BZ62" s="67">
        <v>160</v>
      </c>
      <c r="CA62" s="67">
        <v>85</v>
      </c>
      <c r="CB62" s="67">
        <v>107</v>
      </c>
      <c r="CC62" s="67">
        <v>170</v>
      </c>
      <c r="CD62" s="67">
        <v>213</v>
      </c>
      <c r="CE62" s="67">
        <v>196</v>
      </c>
      <c r="CF62" s="67">
        <v>245</v>
      </c>
      <c r="CG62" s="67">
        <v>197</v>
      </c>
      <c r="CH62" s="67">
        <v>75</v>
      </c>
      <c r="CI62" s="67">
        <v>214</v>
      </c>
      <c r="CJ62" s="67">
        <v>387</v>
      </c>
      <c r="CK62" s="67">
        <v>72</v>
      </c>
      <c r="CL62" s="67">
        <v>84</v>
      </c>
      <c r="CM62" s="67">
        <v>84</v>
      </c>
      <c r="CN62" s="67">
        <v>79</v>
      </c>
      <c r="CO62" s="67">
        <v>87</v>
      </c>
      <c r="CP62" s="67">
        <v>312</v>
      </c>
      <c r="CQ62" s="67">
        <v>190</v>
      </c>
      <c r="CR62" s="67">
        <v>450</v>
      </c>
      <c r="CS62" s="67">
        <v>254</v>
      </c>
      <c r="CT62" s="67">
        <v>30</v>
      </c>
      <c r="CU62" s="67">
        <v>84</v>
      </c>
      <c r="CV62" s="67">
        <v>182</v>
      </c>
      <c r="CW62" s="67" t="s">
        <v>35</v>
      </c>
      <c r="CX62" s="69">
        <f t="shared" si="2"/>
        <v>42.05</v>
      </c>
      <c r="CY62" s="69">
        <f t="shared" si="3"/>
        <v>156.79999999999998</v>
      </c>
      <c r="CZ62" s="69">
        <f t="shared" si="4"/>
        <v>101.89999999999999</v>
      </c>
      <c r="DA62" s="69">
        <f t="shared" si="5"/>
        <v>86.199999999999989</v>
      </c>
      <c r="DB62" s="68">
        <f t="shared" si="6"/>
        <v>124.4</v>
      </c>
      <c r="DC62" s="68"/>
      <c r="DD62" s="68"/>
      <c r="DH62" s="50" t="s">
        <v>35</v>
      </c>
    </row>
    <row r="63" spans="1:112" x14ac:dyDescent="0.25">
      <c r="C63" s="64"/>
      <c r="Z63" s="64">
        <v>2031</v>
      </c>
      <c r="AA63" s="50" t="s">
        <v>35</v>
      </c>
      <c r="AB63" s="67">
        <v>65</v>
      </c>
      <c r="AC63" s="67">
        <v>130</v>
      </c>
      <c r="AD63" s="67">
        <v>70</v>
      </c>
      <c r="AE63" s="67">
        <v>52</v>
      </c>
      <c r="AF63" s="67">
        <v>5</v>
      </c>
      <c r="AG63" s="67">
        <v>1.36</v>
      </c>
      <c r="AH63" s="67">
        <v>1.1599999999999999</v>
      </c>
      <c r="AI63" s="70" t="s">
        <v>35</v>
      </c>
      <c r="AJ63" s="67">
        <v>84</v>
      </c>
      <c r="AK63" s="67">
        <v>41</v>
      </c>
      <c r="AL63" s="67">
        <v>38</v>
      </c>
      <c r="AM63" s="67">
        <v>107</v>
      </c>
      <c r="AN63" s="67">
        <v>69</v>
      </c>
      <c r="AO63" s="67">
        <v>87</v>
      </c>
      <c r="AP63" s="67">
        <v>102</v>
      </c>
      <c r="AQ63" s="67">
        <v>128</v>
      </c>
      <c r="AR63" s="67">
        <v>118</v>
      </c>
      <c r="AS63" s="67">
        <v>148</v>
      </c>
      <c r="AT63" s="67">
        <v>164</v>
      </c>
      <c r="AU63" s="67">
        <v>56</v>
      </c>
      <c r="AV63" s="67">
        <v>175</v>
      </c>
      <c r="AW63" s="67">
        <v>316</v>
      </c>
      <c r="AX63" s="67">
        <v>49</v>
      </c>
      <c r="AY63" s="67">
        <v>64</v>
      </c>
      <c r="AZ63" s="67">
        <v>46</v>
      </c>
      <c r="BA63" s="67">
        <v>41</v>
      </c>
      <c r="BB63" s="67">
        <v>54</v>
      </c>
      <c r="BC63" s="67">
        <v>255</v>
      </c>
      <c r="BD63" s="67">
        <v>72</v>
      </c>
      <c r="BE63" s="67">
        <v>310</v>
      </c>
      <c r="BF63" s="67">
        <v>134</v>
      </c>
      <c r="BG63" s="67">
        <v>29</v>
      </c>
      <c r="BH63" s="67">
        <v>64</v>
      </c>
      <c r="BI63" s="67">
        <v>122</v>
      </c>
      <c r="BJ63" s="50" t="s">
        <v>35</v>
      </c>
      <c r="BK63" s="67">
        <v>96</v>
      </c>
      <c r="BL63" s="67">
        <v>192</v>
      </c>
      <c r="BM63" s="67">
        <v>114</v>
      </c>
      <c r="BN63" s="67">
        <v>86</v>
      </c>
      <c r="BO63" s="67">
        <v>9</v>
      </c>
      <c r="BP63" s="67">
        <v>1.36</v>
      </c>
      <c r="BQ63" s="67">
        <v>1.1599999999999999</v>
      </c>
      <c r="BR63" s="67">
        <v>259</v>
      </c>
      <c r="BS63" s="67">
        <v>140</v>
      </c>
      <c r="BT63" s="67">
        <v>163</v>
      </c>
      <c r="BU63" s="67">
        <v>167</v>
      </c>
      <c r="BV63" s="67">
        <v>182</v>
      </c>
      <c r="BW63" s="67">
        <v>108</v>
      </c>
      <c r="BX63" s="67">
        <v>69</v>
      </c>
      <c r="BY63" s="67">
        <v>62</v>
      </c>
      <c r="BZ63" s="67">
        <v>156</v>
      </c>
      <c r="CA63" s="67">
        <v>82</v>
      </c>
      <c r="CB63" s="67">
        <v>103</v>
      </c>
      <c r="CC63" s="67">
        <v>166</v>
      </c>
      <c r="CD63" s="67">
        <v>208</v>
      </c>
      <c r="CE63" s="67">
        <v>191</v>
      </c>
      <c r="CF63" s="67">
        <v>239</v>
      </c>
      <c r="CG63" s="67">
        <v>190</v>
      </c>
      <c r="CH63" s="67">
        <v>72</v>
      </c>
      <c r="CI63" s="67">
        <v>206</v>
      </c>
      <c r="CJ63" s="67">
        <v>374</v>
      </c>
      <c r="CK63" s="67">
        <v>70</v>
      </c>
      <c r="CL63" s="67">
        <v>80</v>
      </c>
      <c r="CM63" s="67">
        <v>82</v>
      </c>
      <c r="CN63" s="67">
        <v>77</v>
      </c>
      <c r="CO63" s="67">
        <v>85</v>
      </c>
      <c r="CP63" s="67">
        <v>302</v>
      </c>
      <c r="CQ63" s="67">
        <v>186</v>
      </c>
      <c r="CR63" s="67">
        <v>440</v>
      </c>
      <c r="CS63" s="67">
        <v>248</v>
      </c>
      <c r="CT63" s="67">
        <v>29</v>
      </c>
      <c r="CU63" s="67">
        <v>80</v>
      </c>
      <c r="CV63" s="67">
        <v>172</v>
      </c>
      <c r="CW63" s="67" t="s">
        <v>35</v>
      </c>
      <c r="CX63" s="69">
        <f t="shared" si="2"/>
        <v>41.050000000000004</v>
      </c>
      <c r="CY63" s="69">
        <f t="shared" si="3"/>
        <v>153.19999999999999</v>
      </c>
      <c r="CZ63" s="69">
        <f t="shared" si="4"/>
        <v>98.199999999999989</v>
      </c>
      <c r="DA63" s="69">
        <f t="shared" si="5"/>
        <v>83.039999999999992</v>
      </c>
      <c r="DB63" s="68">
        <f t="shared" si="6"/>
        <v>120.39999999999998</v>
      </c>
      <c r="DC63" s="68"/>
      <c r="DD63" s="68"/>
      <c r="DH63" s="50" t="s">
        <v>35</v>
      </c>
    </row>
    <row r="64" spans="1:112" x14ac:dyDescent="0.25">
      <c r="C64" s="64"/>
      <c r="Z64" s="64">
        <v>2032</v>
      </c>
      <c r="AA64" s="50" t="s">
        <v>35</v>
      </c>
      <c r="AB64" s="67">
        <v>64</v>
      </c>
      <c r="AC64" s="67">
        <v>127</v>
      </c>
      <c r="AD64" s="67">
        <v>69</v>
      </c>
      <c r="AE64" s="67">
        <v>51</v>
      </c>
      <c r="AF64" s="67">
        <v>5</v>
      </c>
      <c r="AG64" s="67">
        <v>1.36</v>
      </c>
      <c r="AH64" s="67">
        <v>1.1599999999999999</v>
      </c>
      <c r="AI64" s="70" t="s">
        <v>35</v>
      </c>
      <c r="AJ64" s="67">
        <v>82</v>
      </c>
      <c r="AK64" s="67">
        <v>41</v>
      </c>
      <c r="AL64" s="67">
        <v>38</v>
      </c>
      <c r="AM64" s="67">
        <v>104</v>
      </c>
      <c r="AN64" s="67">
        <v>67</v>
      </c>
      <c r="AO64" s="67">
        <v>84</v>
      </c>
      <c r="AP64" s="67">
        <v>98</v>
      </c>
      <c r="AQ64" s="67">
        <v>123</v>
      </c>
      <c r="AR64" s="67">
        <v>113</v>
      </c>
      <c r="AS64" s="67">
        <v>142</v>
      </c>
      <c r="AT64" s="67">
        <v>158</v>
      </c>
      <c r="AU64" s="67">
        <v>54</v>
      </c>
      <c r="AV64" s="67">
        <v>169</v>
      </c>
      <c r="AW64" s="67">
        <v>306</v>
      </c>
      <c r="AX64" s="67">
        <v>48</v>
      </c>
      <c r="AY64" s="67">
        <v>62</v>
      </c>
      <c r="AZ64" s="67">
        <v>46</v>
      </c>
      <c r="BA64" s="67">
        <v>41</v>
      </c>
      <c r="BB64" s="67">
        <v>53</v>
      </c>
      <c r="BC64" s="67">
        <v>247</v>
      </c>
      <c r="BD64" s="67">
        <v>71</v>
      </c>
      <c r="BE64" s="67">
        <v>304</v>
      </c>
      <c r="BF64" s="67">
        <v>132</v>
      </c>
      <c r="BG64" s="67">
        <v>28</v>
      </c>
      <c r="BH64" s="67">
        <v>62</v>
      </c>
      <c r="BI64" s="67">
        <v>116</v>
      </c>
      <c r="BJ64" s="50" t="s">
        <v>35</v>
      </c>
      <c r="BK64" s="67">
        <v>94</v>
      </c>
      <c r="BL64" s="67">
        <v>188</v>
      </c>
      <c r="BM64" s="67">
        <v>112</v>
      </c>
      <c r="BN64" s="67">
        <v>84</v>
      </c>
      <c r="BO64" s="67">
        <v>9</v>
      </c>
      <c r="BP64" s="67">
        <v>1.36</v>
      </c>
      <c r="BQ64" s="67">
        <v>1.1599999999999999</v>
      </c>
      <c r="BR64" s="67">
        <v>259</v>
      </c>
      <c r="BS64" s="67">
        <v>140</v>
      </c>
      <c r="BT64" s="67">
        <v>163</v>
      </c>
      <c r="BU64" s="67">
        <v>167</v>
      </c>
      <c r="BV64" s="67">
        <v>182</v>
      </c>
      <c r="BW64" s="67">
        <v>105</v>
      </c>
      <c r="BX64" s="67">
        <v>68</v>
      </c>
      <c r="BY64" s="67">
        <v>62</v>
      </c>
      <c r="BZ64" s="67">
        <v>152</v>
      </c>
      <c r="CA64" s="67">
        <v>79</v>
      </c>
      <c r="CB64" s="67">
        <v>99</v>
      </c>
      <c r="CC64" s="67">
        <v>162</v>
      </c>
      <c r="CD64" s="67">
        <v>203</v>
      </c>
      <c r="CE64" s="67">
        <v>186</v>
      </c>
      <c r="CF64" s="67">
        <v>233</v>
      </c>
      <c r="CG64" s="67">
        <v>184</v>
      </c>
      <c r="CH64" s="67">
        <v>69</v>
      </c>
      <c r="CI64" s="67">
        <v>199</v>
      </c>
      <c r="CJ64" s="67">
        <v>362</v>
      </c>
      <c r="CK64" s="67">
        <v>69</v>
      </c>
      <c r="CL64" s="67">
        <v>77</v>
      </c>
      <c r="CM64" s="67">
        <v>81</v>
      </c>
      <c r="CN64" s="67">
        <v>76</v>
      </c>
      <c r="CO64" s="67">
        <v>84</v>
      </c>
      <c r="CP64" s="67">
        <v>293</v>
      </c>
      <c r="CQ64" s="67">
        <v>182</v>
      </c>
      <c r="CR64" s="67">
        <v>430</v>
      </c>
      <c r="CS64" s="67">
        <v>243</v>
      </c>
      <c r="CT64" s="67">
        <v>28</v>
      </c>
      <c r="CU64" s="67">
        <v>77</v>
      </c>
      <c r="CV64" s="67">
        <v>163</v>
      </c>
      <c r="CW64" s="67" t="s">
        <v>35</v>
      </c>
      <c r="CX64" s="69">
        <f t="shared" si="2"/>
        <v>41.050000000000004</v>
      </c>
      <c r="CY64" s="69">
        <f t="shared" si="3"/>
        <v>150.6</v>
      </c>
      <c r="CZ64" s="69">
        <f t="shared" si="4"/>
        <v>94.5</v>
      </c>
      <c r="DA64" s="69">
        <f t="shared" si="5"/>
        <v>80.180000000000007</v>
      </c>
      <c r="DB64" s="68">
        <f t="shared" si="6"/>
        <v>117.4</v>
      </c>
      <c r="DC64" s="68"/>
      <c r="DD64" s="68"/>
      <c r="DH64" s="50" t="s">
        <v>35</v>
      </c>
    </row>
    <row r="65" spans="1:112" x14ac:dyDescent="0.25">
      <c r="C65" s="64"/>
      <c r="Z65" s="64">
        <v>2033</v>
      </c>
      <c r="AA65" s="50" t="s">
        <v>35</v>
      </c>
      <c r="AB65" s="67">
        <v>62</v>
      </c>
      <c r="AC65" s="67">
        <v>124</v>
      </c>
      <c r="AD65" s="67">
        <v>67</v>
      </c>
      <c r="AE65" s="67">
        <v>50</v>
      </c>
      <c r="AF65" s="67">
        <v>5</v>
      </c>
      <c r="AG65" s="67">
        <v>1.35</v>
      </c>
      <c r="AH65" s="67">
        <v>1.1499999999999999</v>
      </c>
      <c r="AI65" s="70" t="s">
        <v>35</v>
      </c>
      <c r="AJ65" s="67">
        <v>79</v>
      </c>
      <c r="AK65" s="67">
        <v>40</v>
      </c>
      <c r="AL65" s="67">
        <v>38</v>
      </c>
      <c r="AM65" s="67">
        <v>101</v>
      </c>
      <c r="AN65" s="67">
        <v>64</v>
      </c>
      <c r="AO65" s="67">
        <v>80</v>
      </c>
      <c r="AP65" s="67">
        <v>94</v>
      </c>
      <c r="AQ65" s="67">
        <v>118</v>
      </c>
      <c r="AR65" s="67">
        <v>109</v>
      </c>
      <c r="AS65" s="67">
        <v>137</v>
      </c>
      <c r="AT65" s="67">
        <v>152</v>
      </c>
      <c r="AU65" s="67">
        <v>52</v>
      </c>
      <c r="AV65" s="67">
        <v>162</v>
      </c>
      <c r="AW65" s="67">
        <v>295</v>
      </c>
      <c r="AX65" s="67">
        <v>47</v>
      </c>
      <c r="AY65" s="67">
        <v>59</v>
      </c>
      <c r="AZ65" s="67">
        <v>45</v>
      </c>
      <c r="BA65" s="67">
        <v>40</v>
      </c>
      <c r="BB65" s="67">
        <v>52</v>
      </c>
      <c r="BC65" s="67">
        <v>239</v>
      </c>
      <c r="BD65" s="67">
        <v>70</v>
      </c>
      <c r="BE65" s="67">
        <v>297</v>
      </c>
      <c r="BF65" s="67">
        <v>129</v>
      </c>
      <c r="BG65" s="67">
        <v>27</v>
      </c>
      <c r="BH65" s="67">
        <v>59</v>
      </c>
      <c r="BI65" s="67">
        <v>110</v>
      </c>
      <c r="BJ65" s="50" t="s">
        <v>35</v>
      </c>
      <c r="BK65" s="67">
        <v>92</v>
      </c>
      <c r="BL65" s="67">
        <v>183</v>
      </c>
      <c r="BM65" s="67">
        <v>109</v>
      </c>
      <c r="BN65" s="67">
        <v>82</v>
      </c>
      <c r="BO65" s="67">
        <v>9</v>
      </c>
      <c r="BP65" s="67">
        <v>1.35</v>
      </c>
      <c r="BQ65" s="67">
        <v>1.1499999999999999</v>
      </c>
      <c r="BR65" s="67">
        <v>259</v>
      </c>
      <c r="BS65" s="67">
        <v>140</v>
      </c>
      <c r="BT65" s="67">
        <v>163</v>
      </c>
      <c r="BU65" s="67">
        <v>167</v>
      </c>
      <c r="BV65" s="67">
        <v>182</v>
      </c>
      <c r="BW65" s="67">
        <v>101</v>
      </c>
      <c r="BX65" s="67">
        <v>66</v>
      </c>
      <c r="BY65" s="67">
        <v>61</v>
      </c>
      <c r="BZ65" s="67">
        <v>148</v>
      </c>
      <c r="CA65" s="67">
        <v>76</v>
      </c>
      <c r="CB65" s="67">
        <v>95</v>
      </c>
      <c r="CC65" s="67">
        <v>157</v>
      </c>
      <c r="CD65" s="67">
        <v>197</v>
      </c>
      <c r="CE65" s="67">
        <v>182</v>
      </c>
      <c r="CF65" s="67">
        <v>228</v>
      </c>
      <c r="CG65" s="67">
        <v>177</v>
      </c>
      <c r="CH65" s="67">
        <v>66</v>
      </c>
      <c r="CI65" s="67">
        <v>192</v>
      </c>
      <c r="CJ65" s="67">
        <v>349</v>
      </c>
      <c r="CK65" s="67">
        <v>67</v>
      </c>
      <c r="CL65" s="67">
        <v>74</v>
      </c>
      <c r="CM65" s="67">
        <v>80</v>
      </c>
      <c r="CN65" s="67">
        <v>75</v>
      </c>
      <c r="CO65" s="67">
        <v>82</v>
      </c>
      <c r="CP65" s="67">
        <v>283</v>
      </c>
      <c r="CQ65" s="67">
        <v>178</v>
      </c>
      <c r="CR65" s="67">
        <v>420</v>
      </c>
      <c r="CS65" s="67">
        <v>238</v>
      </c>
      <c r="CT65" s="67">
        <v>27</v>
      </c>
      <c r="CU65" s="67">
        <v>74</v>
      </c>
      <c r="CV65" s="67">
        <v>153</v>
      </c>
      <c r="CW65" s="67" t="s">
        <v>35</v>
      </c>
      <c r="CX65" s="69">
        <f t="shared" si="2"/>
        <v>40.450000000000003</v>
      </c>
      <c r="CY65" s="69">
        <f t="shared" si="3"/>
        <v>147.4</v>
      </c>
      <c r="CZ65" s="69">
        <f t="shared" si="4"/>
        <v>90.5</v>
      </c>
      <c r="DA65" s="69">
        <f t="shared" si="5"/>
        <v>77.02</v>
      </c>
      <c r="DB65" s="68">
        <f t="shared" si="6"/>
        <v>114.1</v>
      </c>
      <c r="DC65" s="68"/>
      <c r="DD65" s="68"/>
      <c r="DH65" s="50" t="s">
        <v>35</v>
      </c>
    </row>
    <row r="66" spans="1:112" x14ac:dyDescent="0.25">
      <c r="C66" s="64"/>
      <c r="Z66" s="64">
        <v>2034</v>
      </c>
      <c r="AA66" s="50" t="s">
        <v>35</v>
      </c>
      <c r="AB66" s="67">
        <v>60</v>
      </c>
      <c r="AC66" s="67">
        <v>120</v>
      </c>
      <c r="AD66" s="67">
        <v>65</v>
      </c>
      <c r="AE66" s="67">
        <v>48</v>
      </c>
      <c r="AF66" s="67">
        <v>5</v>
      </c>
      <c r="AG66" s="67">
        <v>1.34</v>
      </c>
      <c r="AH66" s="67">
        <v>1.1399999999999999</v>
      </c>
      <c r="AI66" s="70" t="s">
        <v>35</v>
      </c>
      <c r="AJ66" s="67">
        <v>76</v>
      </c>
      <c r="AK66" s="67">
        <v>39</v>
      </c>
      <c r="AL66" s="67">
        <v>37</v>
      </c>
      <c r="AM66" s="67">
        <v>98</v>
      </c>
      <c r="AN66" s="67">
        <v>61</v>
      </c>
      <c r="AO66" s="67">
        <v>77</v>
      </c>
      <c r="AP66" s="67">
        <v>90</v>
      </c>
      <c r="AQ66" s="67">
        <v>113</v>
      </c>
      <c r="AR66" s="67">
        <v>104</v>
      </c>
      <c r="AS66" s="67">
        <v>130</v>
      </c>
      <c r="AT66" s="67">
        <v>146</v>
      </c>
      <c r="AU66" s="67">
        <v>49</v>
      </c>
      <c r="AV66" s="67">
        <v>155</v>
      </c>
      <c r="AW66" s="67">
        <v>284</v>
      </c>
      <c r="AX66" s="67">
        <v>46</v>
      </c>
      <c r="AY66" s="67">
        <v>56</v>
      </c>
      <c r="AZ66" s="67">
        <v>44</v>
      </c>
      <c r="BA66" s="67">
        <v>39</v>
      </c>
      <c r="BB66" s="67">
        <v>51</v>
      </c>
      <c r="BC66" s="67">
        <v>230</v>
      </c>
      <c r="BD66" s="67">
        <v>68</v>
      </c>
      <c r="BE66" s="67">
        <v>290</v>
      </c>
      <c r="BF66" s="67">
        <v>126</v>
      </c>
      <c r="BG66" s="67">
        <v>26</v>
      </c>
      <c r="BH66" s="67">
        <v>56</v>
      </c>
      <c r="BI66" s="67">
        <v>103</v>
      </c>
      <c r="BJ66" s="50" t="s">
        <v>35</v>
      </c>
      <c r="BK66" s="67">
        <v>89</v>
      </c>
      <c r="BL66" s="67">
        <v>178</v>
      </c>
      <c r="BM66" s="67">
        <v>106</v>
      </c>
      <c r="BN66" s="67">
        <v>79</v>
      </c>
      <c r="BO66" s="67">
        <v>9</v>
      </c>
      <c r="BP66" s="67">
        <v>1.34</v>
      </c>
      <c r="BQ66" s="67">
        <v>1.1399999999999999</v>
      </c>
      <c r="BR66" s="67">
        <v>259</v>
      </c>
      <c r="BS66" s="67">
        <v>140</v>
      </c>
      <c r="BT66" s="67">
        <v>163</v>
      </c>
      <c r="BU66" s="67">
        <v>167</v>
      </c>
      <c r="BV66" s="67">
        <v>182</v>
      </c>
      <c r="BW66" s="67">
        <v>97</v>
      </c>
      <c r="BX66" s="67">
        <v>65</v>
      </c>
      <c r="BY66" s="67">
        <v>61</v>
      </c>
      <c r="BZ66" s="67">
        <v>144</v>
      </c>
      <c r="CA66" s="67">
        <v>73</v>
      </c>
      <c r="CB66" s="67">
        <v>92</v>
      </c>
      <c r="CC66" s="67">
        <v>153</v>
      </c>
      <c r="CD66" s="67">
        <v>192</v>
      </c>
      <c r="CE66" s="67">
        <v>177</v>
      </c>
      <c r="CF66" s="67">
        <v>222</v>
      </c>
      <c r="CG66" s="67">
        <v>170</v>
      </c>
      <c r="CH66" s="67">
        <v>63</v>
      </c>
      <c r="CI66" s="67">
        <v>184</v>
      </c>
      <c r="CJ66" s="67">
        <v>336</v>
      </c>
      <c r="CK66" s="67">
        <v>65</v>
      </c>
      <c r="CL66" s="67">
        <v>70</v>
      </c>
      <c r="CM66" s="67">
        <v>78</v>
      </c>
      <c r="CN66" s="67">
        <v>73</v>
      </c>
      <c r="CO66" s="67">
        <v>80</v>
      </c>
      <c r="CP66" s="67">
        <v>273</v>
      </c>
      <c r="CQ66" s="67">
        <v>174</v>
      </c>
      <c r="CR66" s="67">
        <v>410</v>
      </c>
      <c r="CS66" s="67">
        <v>232</v>
      </c>
      <c r="CT66" s="67">
        <v>26</v>
      </c>
      <c r="CU66" s="67">
        <v>70</v>
      </c>
      <c r="CV66" s="67">
        <v>143</v>
      </c>
      <c r="CW66" s="67" t="s">
        <v>35</v>
      </c>
      <c r="CX66" s="69">
        <f t="shared" si="2"/>
        <v>39.450000000000003</v>
      </c>
      <c r="CY66" s="69">
        <f t="shared" si="3"/>
        <v>143.80000000000001</v>
      </c>
      <c r="CZ66" s="69">
        <f t="shared" si="4"/>
        <v>87.499999999999986</v>
      </c>
      <c r="DA66" s="69">
        <f t="shared" si="5"/>
        <v>73.86</v>
      </c>
      <c r="DB66" s="68">
        <f t="shared" si="6"/>
        <v>110.10000000000001</v>
      </c>
      <c r="DC66" s="68"/>
      <c r="DD66" s="68"/>
      <c r="DH66" s="50" t="s">
        <v>35</v>
      </c>
    </row>
    <row r="67" spans="1:112" x14ac:dyDescent="0.25">
      <c r="C67" s="64"/>
      <c r="Z67" s="64">
        <v>2035</v>
      </c>
      <c r="AA67" s="50" t="s">
        <v>35</v>
      </c>
      <c r="AB67" s="67">
        <v>59</v>
      </c>
      <c r="AC67" s="67">
        <v>117</v>
      </c>
      <c r="AD67" s="67">
        <v>64</v>
      </c>
      <c r="AE67" s="67">
        <v>47</v>
      </c>
      <c r="AF67" s="67">
        <v>5</v>
      </c>
      <c r="AG67" s="67">
        <v>1.34</v>
      </c>
      <c r="AH67" s="67">
        <v>1.1399999999999999</v>
      </c>
      <c r="AI67" s="70" t="s">
        <v>35</v>
      </c>
      <c r="AJ67" s="67">
        <v>74</v>
      </c>
      <c r="AK67" s="67">
        <v>39</v>
      </c>
      <c r="AL67" s="67">
        <v>37</v>
      </c>
      <c r="AM67" s="67">
        <v>95</v>
      </c>
      <c r="AN67" s="67">
        <v>59</v>
      </c>
      <c r="AO67" s="67">
        <v>74</v>
      </c>
      <c r="AP67" s="67">
        <v>85</v>
      </c>
      <c r="AQ67" s="67">
        <v>107</v>
      </c>
      <c r="AR67" s="67">
        <v>99</v>
      </c>
      <c r="AS67" s="67">
        <v>124</v>
      </c>
      <c r="AT67" s="67">
        <v>140</v>
      </c>
      <c r="AU67" s="67">
        <v>47</v>
      </c>
      <c r="AV67" s="67">
        <v>149</v>
      </c>
      <c r="AW67" s="67">
        <v>274</v>
      </c>
      <c r="AX67" s="67">
        <v>45</v>
      </c>
      <c r="AY67" s="67">
        <v>54</v>
      </c>
      <c r="AZ67" s="67">
        <v>44</v>
      </c>
      <c r="BA67" s="67">
        <v>39</v>
      </c>
      <c r="BB67" s="67">
        <v>50</v>
      </c>
      <c r="BC67" s="67">
        <v>222</v>
      </c>
      <c r="BD67" s="67">
        <v>67</v>
      </c>
      <c r="BE67" s="67">
        <v>284</v>
      </c>
      <c r="BF67" s="67">
        <v>124</v>
      </c>
      <c r="BG67" s="67">
        <v>25</v>
      </c>
      <c r="BH67" s="67">
        <v>54</v>
      </c>
      <c r="BI67" s="67">
        <v>97</v>
      </c>
      <c r="BJ67" s="50" t="s">
        <v>35</v>
      </c>
      <c r="BK67" s="67">
        <v>87</v>
      </c>
      <c r="BL67" s="67">
        <v>174</v>
      </c>
      <c r="BM67" s="67">
        <v>104</v>
      </c>
      <c r="BN67" s="67">
        <v>77</v>
      </c>
      <c r="BO67" s="67">
        <v>8</v>
      </c>
      <c r="BP67" s="67">
        <v>1.34</v>
      </c>
      <c r="BQ67" s="67">
        <v>1.1399999999999999</v>
      </c>
      <c r="BR67" s="67">
        <v>259</v>
      </c>
      <c r="BS67" s="67">
        <v>140</v>
      </c>
      <c r="BT67" s="67">
        <v>163</v>
      </c>
      <c r="BU67" s="67">
        <v>167</v>
      </c>
      <c r="BV67" s="67">
        <v>182</v>
      </c>
      <c r="BW67" s="67">
        <v>94</v>
      </c>
      <c r="BX67" s="67">
        <v>64</v>
      </c>
      <c r="BY67" s="67">
        <v>60</v>
      </c>
      <c r="BZ67" s="67">
        <v>140</v>
      </c>
      <c r="CA67" s="67">
        <v>70</v>
      </c>
      <c r="CB67" s="67">
        <v>88</v>
      </c>
      <c r="CC67" s="67">
        <v>149</v>
      </c>
      <c r="CD67" s="67">
        <v>187</v>
      </c>
      <c r="CE67" s="67">
        <v>172</v>
      </c>
      <c r="CF67" s="67">
        <v>215</v>
      </c>
      <c r="CG67" s="67">
        <v>164</v>
      </c>
      <c r="CH67" s="67">
        <v>60</v>
      </c>
      <c r="CI67" s="67">
        <v>177</v>
      </c>
      <c r="CJ67" s="67">
        <v>324</v>
      </c>
      <c r="CK67" s="67">
        <v>64</v>
      </c>
      <c r="CL67" s="67">
        <v>67</v>
      </c>
      <c r="CM67" s="67">
        <v>77</v>
      </c>
      <c r="CN67" s="67">
        <v>72</v>
      </c>
      <c r="CO67" s="67">
        <v>79</v>
      </c>
      <c r="CP67" s="67">
        <v>264</v>
      </c>
      <c r="CQ67" s="67">
        <v>170</v>
      </c>
      <c r="CR67" s="67">
        <v>400</v>
      </c>
      <c r="CS67" s="67">
        <v>227</v>
      </c>
      <c r="CT67" s="67">
        <v>25</v>
      </c>
      <c r="CU67" s="67">
        <v>67</v>
      </c>
      <c r="CV67" s="67">
        <v>134</v>
      </c>
      <c r="CW67" s="67" t="s">
        <v>35</v>
      </c>
      <c r="CX67" s="69">
        <f t="shared" si="2"/>
        <v>39.450000000000003</v>
      </c>
      <c r="CY67" s="69">
        <f t="shared" si="3"/>
        <v>141.19999999999999</v>
      </c>
      <c r="CZ67" s="69">
        <f t="shared" si="4"/>
        <v>83.8</v>
      </c>
      <c r="DA67" s="69">
        <f t="shared" si="5"/>
        <v>71</v>
      </c>
      <c r="DB67" s="68">
        <f t="shared" si="6"/>
        <v>107.1</v>
      </c>
      <c r="DC67" s="68"/>
      <c r="DD67" s="68"/>
      <c r="DH67" s="50" t="s">
        <v>35</v>
      </c>
    </row>
    <row r="68" spans="1:112" x14ac:dyDescent="0.25">
      <c r="C68" s="64"/>
      <c r="Z68" s="64">
        <v>2036</v>
      </c>
      <c r="AA68" s="50" t="s">
        <v>35</v>
      </c>
      <c r="AB68" s="67">
        <v>57</v>
      </c>
      <c r="AC68" s="67">
        <v>114</v>
      </c>
      <c r="AD68" s="67">
        <v>62</v>
      </c>
      <c r="AE68" s="67">
        <v>46</v>
      </c>
      <c r="AF68" s="67">
        <v>5</v>
      </c>
      <c r="AG68" s="67">
        <v>1.33</v>
      </c>
      <c r="AH68" s="67">
        <v>1.1299999999999999</v>
      </c>
      <c r="AI68" s="70" t="s">
        <v>35</v>
      </c>
      <c r="AJ68" s="67">
        <v>71</v>
      </c>
      <c r="AK68" s="67">
        <v>38</v>
      </c>
      <c r="AL68" s="67">
        <v>37</v>
      </c>
      <c r="AM68" s="67">
        <v>92</v>
      </c>
      <c r="AN68" s="67">
        <v>56</v>
      </c>
      <c r="AO68" s="67">
        <v>70</v>
      </c>
      <c r="AP68" s="67">
        <v>81</v>
      </c>
      <c r="AQ68" s="67">
        <v>102</v>
      </c>
      <c r="AR68" s="67">
        <v>94</v>
      </c>
      <c r="AS68" s="67">
        <v>118</v>
      </c>
      <c r="AT68" s="67">
        <v>134</v>
      </c>
      <c r="AU68" s="67">
        <v>45</v>
      </c>
      <c r="AV68" s="67">
        <v>142</v>
      </c>
      <c r="AW68" s="67">
        <v>263</v>
      </c>
      <c r="AX68" s="67">
        <v>44</v>
      </c>
      <c r="AY68" s="67">
        <v>51</v>
      </c>
      <c r="AZ68" s="67">
        <v>43</v>
      </c>
      <c r="BA68" s="67">
        <v>38</v>
      </c>
      <c r="BB68" s="67">
        <v>49</v>
      </c>
      <c r="BC68" s="67">
        <v>214</v>
      </c>
      <c r="BD68" s="67">
        <v>66</v>
      </c>
      <c r="BE68" s="67">
        <v>277</v>
      </c>
      <c r="BF68" s="67">
        <v>121</v>
      </c>
      <c r="BG68" s="67">
        <v>24</v>
      </c>
      <c r="BH68" s="67">
        <v>51</v>
      </c>
      <c r="BI68" s="67">
        <v>91</v>
      </c>
      <c r="BJ68" s="50" t="s">
        <v>35</v>
      </c>
      <c r="BK68" s="67">
        <v>85</v>
      </c>
      <c r="BL68" s="67">
        <v>169</v>
      </c>
      <c r="BM68" s="67">
        <v>101</v>
      </c>
      <c r="BN68" s="67">
        <v>75</v>
      </c>
      <c r="BO68" s="67">
        <v>8</v>
      </c>
      <c r="BP68" s="67">
        <v>1.33</v>
      </c>
      <c r="BQ68" s="67">
        <v>1.1299999999999999</v>
      </c>
      <c r="BR68" s="67">
        <v>259</v>
      </c>
      <c r="BS68" s="67">
        <v>140</v>
      </c>
      <c r="BT68" s="67">
        <v>163</v>
      </c>
      <c r="BU68" s="67">
        <v>167</v>
      </c>
      <c r="BV68" s="67">
        <v>182</v>
      </c>
      <c r="BW68" s="67">
        <v>90</v>
      </c>
      <c r="BX68" s="67">
        <v>63</v>
      </c>
      <c r="BY68" s="67">
        <v>60</v>
      </c>
      <c r="BZ68" s="67">
        <v>136</v>
      </c>
      <c r="CA68" s="67">
        <v>67</v>
      </c>
      <c r="CB68" s="67">
        <v>84</v>
      </c>
      <c r="CC68" s="67">
        <v>145</v>
      </c>
      <c r="CD68" s="67">
        <v>182</v>
      </c>
      <c r="CE68" s="67">
        <v>167</v>
      </c>
      <c r="CF68" s="67">
        <v>209</v>
      </c>
      <c r="CG68" s="67">
        <v>157</v>
      </c>
      <c r="CH68" s="67">
        <v>57</v>
      </c>
      <c r="CI68" s="67">
        <v>170</v>
      </c>
      <c r="CJ68" s="67">
        <v>311</v>
      </c>
      <c r="CK68" s="67">
        <v>62</v>
      </c>
      <c r="CL68" s="67">
        <v>64</v>
      </c>
      <c r="CM68" s="67">
        <v>76</v>
      </c>
      <c r="CN68" s="67">
        <v>71</v>
      </c>
      <c r="CO68" s="67">
        <v>77</v>
      </c>
      <c r="CP68" s="67">
        <v>254</v>
      </c>
      <c r="CQ68" s="67">
        <v>166</v>
      </c>
      <c r="CR68" s="67">
        <v>390</v>
      </c>
      <c r="CS68" s="67">
        <v>222</v>
      </c>
      <c r="CT68" s="67">
        <v>24</v>
      </c>
      <c r="CU68" s="67">
        <v>64</v>
      </c>
      <c r="CV68" s="67">
        <v>124</v>
      </c>
      <c r="CW68" s="67" t="s">
        <v>35</v>
      </c>
      <c r="CX68" s="69">
        <f t="shared" si="2"/>
        <v>38.85</v>
      </c>
      <c r="CY68" s="69">
        <f t="shared" si="3"/>
        <v>138</v>
      </c>
      <c r="CZ68" s="69">
        <f t="shared" si="4"/>
        <v>79.8</v>
      </c>
      <c r="DA68" s="69">
        <f t="shared" si="5"/>
        <v>67.84</v>
      </c>
      <c r="DB68" s="68">
        <f t="shared" si="6"/>
        <v>103.8</v>
      </c>
      <c r="DC68" s="68"/>
      <c r="DD68" s="68"/>
      <c r="DH68" s="50" t="s">
        <v>35</v>
      </c>
    </row>
    <row r="69" spans="1:112" x14ac:dyDescent="0.25">
      <c r="A69" s="64"/>
      <c r="C69" s="64"/>
      <c r="Z69" s="64">
        <v>2037</v>
      </c>
      <c r="AA69" s="50" t="s">
        <v>35</v>
      </c>
      <c r="AB69" s="67">
        <v>55</v>
      </c>
      <c r="AC69" s="67">
        <v>110</v>
      </c>
      <c r="AD69" s="67">
        <v>60</v>
      </c>
      <c r="AE69" s="67">
        <v>44</v>
      </c>
      <c r="AF69" s="67">
        <v>5</v>
      </c>
      <c r="AG69" s="67">
        <v>1.32</v>
      </c>
      <c r="AH69" s="67">
        <v>1.1200000000000001</v>
      </c>
      <c r="AI69" s="70" t="s">
        <v>35</v>
      </c>
      <c r="AJ69" s="67">
        <v>68</v>
      </c>
      <c r="AK69" s="67">
        <v>37</v>
      </c>
      <c r="AL69" s="67">
        <v>36</v>
      </c>
      <c r="AM69" s="67">
        <v>89</v>
      </c>
      <c r="AN69" s="67">
        <v>53</v>
      </c>
      <c r="AO69" s="67">
        <v>67</v>
      </c>
      <c r="AP69" s="67">
        <v>77</v>
      </c>
      <c r="AQ69" s="67">
        <v>97</v>
      </c>
      <c r="AR69" s="67">
        <v>89</v>
      </c>
      <c r="AS69" s="67">
        <v>112</v>
      </c>
      <c r="AT69" s="67">
        <v>128</v>
      </c>
      <c r="AU69" s="67">
        <v>42</v>
      </c>
      <c r="AV69" s="67">
        <v>135</v>
      </c>
      <c r="AW69" s="67">
        <v>252</v>
      </c>
      <c r="AX69" s="67">
        <v>43</v>
      </c>
      <c r="AY69" s="67">
        <v>48</v>
      </c>
      <c r="AZ69" s="67">
        <v>42</v>
      </c>
      <c r="BA69" s="67">
        <v>37</v>
      </c>
      <c r="BB69" s="67">
        <v>48</v>
      </c>
      <c r="BC69" s="67">
        <v>205</v>
      </c>
      <c r="BD69" s="67">
        <v>64</v>
      </c>
      <c r="BE69" s="67">
        <v>270</v>
      </c>
      <c r="BF69" s="67">
        <v>118</v>
      </c>
      <c r="BG69" s="67">
        <v>23</v>
      </c>
      <c r="BH69" s="67">
        <v>48</v>
      </c>
      <c r="BI69" s="67">
        <v>84</v>
      </c>
      <c r="BJ69" s="50" t="s">
        <v>35</v>
      </c>
      <c r="BK69" s="67">
        <v>82</v>
      </c>
      <c r="BL69" s="67">
        <v>164</v>
      </c>
      <c r="BM69" s="67">
        <v>98</v>
      </c>
      <c r="BN69" s="67">
        <v>72</v>
      </c>
      <c r="BO69" s="67">
        <v>8</v>
      </c>
      <c r="BP69" s="67">
        <v>1.32</v>
      </c>
      <c r="BQ69" s="67">
        <v>1.1200000000000001</v>
      </c>
      <c r="BR69" s="67">
        <v>259</v>
      </c>
      <c r="BS69" s="67">
        <v>140</v>
      </c>
      <c r="BT69" s="67">
        <v>163</v>
      </c>
      <c r="BU69" s="67">
        <v>167</v>
      </c>
      <c r="BV69" s="67">
        <v>182</v>
      </c>
      <c r="BW69" s="67">
        <v>86</v>
      </c>
      <c r="BX69" s="67">
        <v>62</v>
      </c>
      <c r="BY69" s="67">
        <v>59</v>
      </c>
      <c r="BZ69" s="67">
        <v>132</v>
      </c>
      <c r="CA69" s="67">
        <v>64</v>
      </c>
      <c r="CB69" s="67">
        <v>80</v>
      </c>
      <c r="CC69" s="67">
        <v>140</v>
      </c>
      <c r="CD69" s="67">
        <v>175</v>
      </c>
      <c r="CE69" s="67">
        <v>162</v>
      </c>
      <c r="CF69" s="67">
        <v>203</v>
      </c>
      <c r="CG69" s="67">
        <v>150</v>
      </c>
      <c r="CH69" s="67">
        <v>54</v>
      </c>
      <c r="CI69" s="67">
        <v>162</v>
      </c>
      <c r="CJ69" s="67">
        <v>298</v>
      </c>
      <c r="CK69" s="67">
        <v>60</v>
      </c>
      <c r="CL69" s="67">
        <v>60</v>
      </c>
      <c r="CM69" s="67">
        <v>74</v>
      </c>
      <c r="CN69" s="67">
        <v>69</v>
      </c>
      <c r="CO69" s="67">
        <v>75</v>
      </c>
      <c r="CP69" s="67">
        <v>244</v>
      </c>
      <c r="CQ69" s="67">
        <v>162</v>
      </c>
      <c r="CR69" s="67">
        <v>380</v>
      </c>
      <c r="CS69" s="67">
        <v>216</v>
      </c>
      <c r="CT69" s="67">
        <v>23</v>
      </c>
      <c r="CU69" s="67">
        <v>60</v>
      </c>
      <c r="CV69" s="67">
        <v>114</v>
      </c>
      <c r="CW69" s="67" t="s">
        <v>35</v>
      </c>
      <c r="CX69" s="69">
        <f t="shared" si="2"/>
        <v>37.849999999999994</v>
      </c>
      <c r="CY69" s="69">
        <f t="shared" si="3"/>
        <v>134.39999999999998</v>
      </c>
      <c r="CZ69" s="69">
        <f t="shared" si="4"/>
        <v>76.099999999999994</v>
      </c>
      <c r="DA69" s="69">
        <f t="shared" si="5"/>
        <v>64.680000000000007</v>
      </c>
      <c r="DB69" s="68">
        <f t="shared" si="6"/>
        <v>99.8</v>
      </c>
      <c r="DC69" s="68"/>
      <c r="DD69" s="68"/>
      <c r="DH69" s="50" t="s">
        <v>35</v>
      </c>
    </row>
    <row r="70" spans="1:112" ht="30" x14ac:dyDescent="0.25">
      <c r="A70" s="86" t="s">
        <v>379</v>
      </c>
      <c r="B70" s="86"/>
      <c r="C70" s="56"/>
      <c r="D70" s="56" t="s">
        <v>350</v>
      </c>
      <c r="E70" s="56" t="s">
        <v>349</v>
      </c>
      <c r="F70" s="56" t="s">
        <v>348</v>
      </c>
      <c r="G70" s="56" t="s">
        <v>347</v>
      </c>
      <c r="H70" s="56" t="s">
        <v>346</v>
      </c>
      <c r="I70" s="56" t="s">
        <v>345</v>
      </c>
      <c r="J70" s="63"/>
      <c r="K70" s="56"/>
      <c r="L70" s="56" t="s">
        <v>344</v>
      </c>
      <c r="M70" s="56" t="s">
        <v>343</v>
      </c>
      <c r="Z70" s="64">
        <v>2038</v>
      </c>
      <c r="AA70" s="50" t="s">
        <v>35</v>
      </c>
      <c r="AB70" s="67">
        <v>54</v>
      </c>
      <c r="AC70" s="67">
        <v>107</v>
      </c>
      <c r="AD70" s="67">
        <v>59</v>
      </c>
      <c r="AE70" s="67">
        <v>43</v>
      </c>
      <c r="AF70" s="67">
        <v>5</v>
      </c>
      <c r="AG70" s="67">
        <v>1.32</v>
      </c>
      <c r="AH70" s="67">
        <v>1.1200000000000001</v>
      </c>
      <c r="AI70" s="70" t="s">
        <v>35</v>
      </c>
      <c r="AJ70" s="67">
        <v>66</v>
      </c>
      <c r="AK70" s="67">
        <v>37</v>
      </c>
      <c r="AL70" s="67">
        <v>36</v>
      </c>
      <c r="AM70" s="67">
        <v>86</v>
      </c>
      <c r="AN70" s="67">
        <v>51</v>
      </c>
      <c r="AO70" s="67">
        <v>64</v>
      </c>
      <c r="AP70" s="67">
        <v>73</v>
      </c>
      <c r="AQ70" s="67">
        <v>92</v>
      </c>
      <c r="AR70" s="67">
        <v>84</v>
      </c>
      <c r="AS70" s="67">
        <v>105</v>
      </c>
      <c r="AT70" s="67">
        <v>122</v>
      </c>
      <c r="AU70" s="67">
        <v>40</v>
      </c>
      <c r="AV70" s="67">
        <v>129</v>
      </c>
      <c r="AW70" s="67">
        <v>242</v>
      </c>
      <c r="AX70" s="67">
        <v>42</v>
      </c>
      <c r="AY70" s="67">
        <v>46</v>
      </c>
      <c r="AZ70" s="67">
        <v>42</v>
      </c>
      <c r="BA70" s="67">
        <v>37</v>
      </c>
      <c r="BB70" s="67">
        <v>47</v>
      </c>
      <c r="BC70" s="67">
        <v>197</v>
      </c>
      <c r="BD70" s="67">
        <v>63</v>
      </c>
      <c r="BE70" s="67">
        <v>264</v>
      </c>
      <c r="BF70" s="67">
        <v>116</v>
      </c>
      <c r="BG70" s="67">
        <v>22</v>
      </c>
      <c r="BH70" s="67">
        <v>46</v>
      </c>
      <c r="BI70" s="67">
        <v>78</v>
      </c>
      <c r="BJ70" s="50" t="s">
        <v>35</v>
      </c>
      <c r="BK70" s="67">
        <v>80</v>
      </c>
      <c r="BL70" s="67">
        <v>160</v>
      </c>
      <c r="BM70" s="67">
        <v>96</v>
      </c>
      <c r="BN70" s="67">
        <v>70</v>
      </c>
      <c r="BO70" s="67">
        <v>8</v>
      </c>
      <c r="BP70" s="67">
        <v>1.32</v>
      </c>
      <c r="BQ70" s="67">
        <v>1.1200000000000001</v>
      </c>
      <c r="BR70" s="67">
        <v>259</v>
      </c>
      <c r="BS70" s="67">
        <v>140</v>
      </c>
      <c r="BT70" s="67">
        <v>163</v>
      </c>
      <c r="BU70" s="67">
        <v>167</v>
      </c>
      <c r="BV70" s="67">
        <v>182</v>
      </c>
      <c r="BW70" s="67">
        <v>83</v>
      </c>
      <c r="BX70" s="67">
        <v>61</v>
      </c>
      <c r="BY70" s="67">
        <v>59</v>
      </c>
      <c r="BZ70" s="67">
        <v>128</v>
      </c>
      <c r="CA70" s="67">
        <v>61</v>
      </c>
      <c r="CB70" s="67">
        <v>77</v>
      </c>
      <c r="CC70" s="67">
        <v>136</v>
      </c>
      <c r="CD70" s="67">
        <v>170</v>
      </c>
      <c r="CE70" s="67">
        <v>157</v>
      </c>
      <c r="CF70" s="67">
        <v>197</v>
      </c>
      <c r="CG70" s="67">
        <v>144</v>
      </c>
      <c r="CH70" s="67">
        <v>51</v>
      </c>
      <c r="CI70" s="67">
        <v>155</v>
      </c>
      <c r="CJ70" s="67">
        <v>286</v>
      </c>
      <c r="CK70" s="67">
        <v>59</v>
      </c>
      <c r="CL70" s="67">
        <v>57</v>
      </c>
      <c r="CM70" s="67">
        <v>73</v>
      </c>
      <c r="CN70" s="67">
        <v>68</v>
      </c>
      <c r="CO70" s="67">
        <v>74</v>
      </c>
      <c r="CP70" s="67">
        <v>235</v>
      </c>
      <c r="CQ70" s="67">
        <v>158</v>
      </c>
      <c r="CR70" s="67">
        <v>370</v>
      </c>
      <c r="CS70" s="67">
        <v>211</v>
      </c>
      <c r="CT70" s="67">
        <v>22</v>
      </c>
      <c r="CU70" s="67">
        <v>57</v>
      </c>
      <c r="CV70" s="67">
        <v>105</v>
      </c>
      <c r="CW70" s="67" t="s">
        <v>35</v>
      </c>
      <c r="CX70" s="69">
        <f t="shared" si="2"/>
        <v>37.849999999999994</v>
      </c>
      <c r="CY70" s="69">
        <f t="shared" si="3"/>
        <v>131.80000000000001</v>
      </c>
      <c r="CZ70" s="69">
        <f t="shared" si="4"/>
        <v>73.099999999999994</v>
      </c>
      <c r="DA70" s="69">
        <f t="shared" si="5"/>
        <v>61.819999999999993</v>
      </c>
      <c r="DB70" s="68">
        <f t="shared" si="6"/>
        <v>96.800000000000011</v>
      </c>
      <c r="DC70" s="68"/>
      <c r="DD70" s="68"/>
      <c r="DH70" s="50" t="s">
        <v>35</v>
      </c>
    </row>
    <row r="71" spans="1:112" ht="60" x14ac:dyDescent="0.25">
      <c r="A71" s="86"/>
      <c r="B71" s="86"/>
      <c r="C71" s="56" t="s">
        <v>342</v>
      </c>
      <c r="D71" s="62">
        <v>2028</v>
      </c>
      <c r="E71" s="57">
        <f>D71</f>
        <v>2028</v>
      </c>
      <c r="F71" s="57">
        <f>E71</f>
        <v>2028</v>
      </c>
      <c r="G71" s="57">
        <f>F71</f>
        <v>2028</v>
      </c>
      <c r="H71" s="57">
        <f>G71</f>
        <v>2028</v>
      </c>
      <c r="I71" s="57">
        <f>H71</f>
        <v>2028</v>
      </c>
      <c r="K71" s="56" t="s">
        <v>342</v>
      </c>
      <c r="L71" s="57">
        <f>I71</f>
        <v>2028</v>
      </c>
      <c r="M71" s="57"/>
      <c r="Z71" s="64">
        <v>2039</v>
      </c>
      <c r="AA71" s="50" t="s">
        <v>35</v>
      </c>
      <c r="AB71" s="67">
        <v>52</v>
      </c>
      <c r="AC71" s="67">
        <v>104</v>
      </c>
      <c r="AD71" s="67">
        <v>57</v>
      </c>
      <c r="AE71" s="67">
        <v>42</v>
      </c>
      <c r="AF71" s="67">
        <v>5</v>
      </c>
      <c r="AG71" s="67">
        <v>1.31</v>
      </c>
      <c r="AH71" s="67">
        <v>1.1100000000000001</v>
      </c>
      <c r="AI71" s="70" t="s">
        <v>35</v>
      </c>
      <c r="AJ71" s="67">
        <v>63</v>
      </c>
      <c r="AK71" s="67">
        <v>36</v>
      </c>
      <c r="AL71" s="67">
        <v>36</v>
      </c>
      <c r="AM71" s="67">
        <v>83</v>
      </c>
      <c r="AN71" s="67">
        <v>48</v>
      </c>
      <c r="AO71" s="67">
        <v>60</v>
      </c>
      <c r="AP71" s="67">
        <v>69</v>
      </c>
      <c r="AQ71" s="67">
        <v>87</v>
      </c>
      <c r="AR71" s="67">
        <v>79</v>
      </c>
      <c r="AS71" s="67">
        <v>99</v>
      </c>
      <c r="AT71" s="67">
        <v>116</v>
      </c>
      <c r="AU71" s="67">
        <v>38</v>
      </c>
      <c r="AV71" s="67">
        <v>122</v>
      </c>
      <c r="AW71" s="67">
        <v>231</v>
      </c>
      <c r="AX71" s="67">
        <v>41</v>
      </c>
      <c r="AY71" s="67">
        <v>43</v>
      </c>
      <c r="AZ71" s="67">
        <v>41</v>
      </c>
      <c r="BA71" s="67">
        <v>36</v>
      </c>
      <c r="BB71" s="67">
        <v>46</v>
      </c>
      <c r="BC71" s="67">
        <v>189</v>
      </c>
      <c r="BD71" s="67">
        <v>62</v>
      </c>
      <c r="BE71" s="67">
        <v>257</v>
      </c>
      <c r="BF71" s="67">
        <v>113</v>
      </c>
      <c r="BG71" s="67">
        <v>21</v>
      </c>
      <c r="BH71" s="67">
        <v>43</v>
      </c>
      <c r="BI71" s="67">
        <v>72</v>
      </c>
      <c r="BJ71" s="50" t="s">
        <v>35</v>
      </c>
      <c r="BK71" s="67">
        <v>78</v>
      </c>
      <c r="BL71" s="67">
        <v>155</v>
      </c>
      <c r="BM71" s="67">
        <v>93</v>
      </c>
      <c r="BN71" s="67">
        <v>68</v>
      </c>
      <c r="BO71" s="67">
        <v>8</v>
      </c>
      <c r="BP71" s="67">
        <v>1.31</v>
      </c>
      <c r="BQ71" s="67">
        <v>1.1100000000000001</v>
      </c>
      <c r="BR71" s="67">
        <v>259</v>
      </c>
      <c r="BS71" s="67">
        <v>140</v>
      </c>
      <c r="BT71" s="67">
        <v>163</v>
      </c>
      <c r="BU71" s="67">
        <v>167</v>
      </c>
      <c r="BV71" s="67">
        <v>182</v>
      </c>
      <c r="BW71" s="67">
        <v>79</v>
      </c>
      <c r="BX71" s="67">
        <v>60</v>
      </c>
      <c r="BY71" s="67">
        <v>58</v>
      </c>
      <c r="BZ71" s="67">
        <v>124</v>
      </c>
      <c r="CA71" s="67">
        <v>58</v>
      </c>
      <c r="CB71" s="67">
        <v>73</v>
      </c>
      <c r="CC71" s="67">
        <v>132</v>
      </c>
      <c r="CD71" s="67">
        <v>165</v>
      </c>
      <c r="CE71" s="67">
        <v>152</v>
      </c>
      <c r="CF71" s="67">
        <v>190</v>
      </c>
      <c r="CG71" s="67">
        <v>137</v>
      </c>
      <c r="CH71" s="67">
        <v>48</v>
      </c>
      <c r="CI71" s="67">
        <v>148</v>
      </c>
      <c r="CJ71" s="67">
        <v>273</v>
      </c>
      <c r="CK71" s="67">
        <v>57</v>
      </c>
      <c r="CL71" s="67">
        <v>54</v>
      </c>
      <c r="CM71" s="67">
        <v>72</v>
      </c>
      <c r="CN71" s="67">
        <v>67</v>
      </c>
      <c r="CO71" s="67">
        <v>72</v>
      </c>
      <c r="CP71" s="67">
        <v>225</v>
      </c>
      <c r="CQ71" s="67">
        <v>154</v>
      </c>
      <c r="CR71" s="67">
        <v>360</v>
      </c>
      <c r="CS71" s="67">
        <v>206</v>
      </c>
      <c r="CT71" s="67">
        <v>21</v>
      </c>
      <c r="CU71" s="67">
        <v>54</v>
      </c>
      <c r="CV71" s="67">
        <v>95</v>
      </c>
      <c r="CW71" s="67" t="s">
        <v>35</v>
      </c>
      <c r="CX71" s="69">
        <f t="shared" si="2"/>
        <v>37.25</v>
      </c>
      <c r="CY71" s="69">
        <f t="shared" si="3"/>
        <v>128.6</v>
      </c>
      <c r="CZ71" s="69">
        <f t="shared" si="4"/>
        <v>69.099999999999994</v>
      </c>
      <c r="DA71" s="69">
        <f t="shared" si="5"/>
        <v>58.66</v>
      </c>
      <c r="DB71" s="68">
        <f t="shared" si="6"/>
        <v>93.499999999999986</v>
      </c>
      <c r="DC71" s="68"/>
      <c r="DD71" s="68"/>
      <c r="DH71" s="50" t="s">
        <v>35</v>
      </c>
    </row>
    <row r="72" spans="1:112" ht="45" x14ac:dyDescent="0.25">
      <c r="A72" s="86"/>
      <c r="B72" s="86"/>
      <c r="C72" s="56" t="s">
        <v>341</v>
      </c>
      <c r="D72" s="61" t="s">
        <v>378</v>
      </c>
      <c r="E72" s="61" t="s">
        <v>377</v>
      </c>
      <c r="F72" s="61" t="s">
        <v>376</v>
      </c>
      <c r="G72" s="61"/>
      <c r="H72" s="61"/>
      <c r="I72" s="61"/>
      <c r="K72" s="56" t="s">
        <v>337</v>
      </c>
      <c r="L72" s="55" t="str">
        <f>_xlfn.CONCAT(D80:I80)</f>
        <v>40%_NB Home Flat. + 
25%_NB School E.Y. + 
35%_NB School Pri.</v>
      </c>
      <c r="M72" s="57"/>
      <c r="Z72" s="64">
        <v>2040</v>
      </c>
      <c r="AA72" s="50" t="s">
        <v>35</v>
      </c>
      <c r="AB72" s="67">
        <v>50</v>
      </c>
      <c r="AC72" s="67">
        <v>100</v>
      </c>
      <c r="AD72" s="67">
        <v>55</v>
      </c>
      <c r="AE72" s="67">
        <v>40</v>
      </c>
      <c r="AF72" s="67">
        <v>4</v>
      </c>
      <c r="AG72" s="67">
        <v>1.3</v>
      </c>
      <c r="AH72" s="67">
        <v>1.1000000000000001</v>
      </c>
      <c r="AI72" s="70" t="s">
        <v>35</v>
      </c>
      <c r="AJ72" s="67">
        <v>60</v>
      </c>
      <c r="AK72" s="67">
        <v>35</v>
      </c>
      <c r="AL72" s="67">
        <v>35</v>
      </c>
      <c r="AM72" s="67">
        <v>80</v>
      </c>
      <c r="AN72" s="67">
        <v>45</v>
      </c>
      <c r="AO72" s="67">
        <v>57</v>
      </c>
      <c r="AP72" s="67">
        <v>64</v>
      </c>
      <c r="AQ72" s="67">
        <v>80</v>
      </c>
      <c r="AR72" s="67">
        <v>74</v>
      </c>
      <c r="AS72" s="67">
        <v>93</v>
      </c>
      <c r="AT72" s="67">
        <v>110</v>
      </c>
      <c r="AU72" s="67">
        <v>35</v>
      </c>
      <c r="AV72" s="67">
        <v>115</v>
      </c>
      <c r="AW72" s="67">
        <v>220</v>
      </c>
      <c r="AX72" s="67">
        <v>40</v>
      </c>
      <c r="AY72" s="67">
        <v>40</v>
      </c>
      <c r="AZ72" s="67">
        <v>40</v>
      </c>
      <c r="BA72" s="67">
        <v>35</v>
      </c>
      <c r="BB72" s="67">
        <v>45</v>
      </c>
      <c r="BC72" s="67">
        <v>180</v>
      </c>
      <c r="BD72" s="67">
        <v>60</v>
      </c>
      <c r="BE72" s="67">
        <v>250</v>
      </c>
      <c r="BF72" s="67">
        <v>110</v>
      </c>
      <c r="BG72" s="67">
        <v>20</v>
      </c>
      <c r="BH72" s="67">
        <v>40</v>
      </c>
      <c r="BI72" s="67">
        <v>65</v>
      </c>
      <c r="BJ72" s="50" t="s">
        <v>35</v>
      </c>
      <c r="BK72" s="67">
        <v>75</v>
      </c>
      <c r="BL72" s="67">
        <v>150</v>
      </c>
      <c r="BM72" s="67">
        <v>90</v>
      </c>
      <c r="BN72" s="67">
        <v>65</v>
      </c>
      <c r="BO72" s="67">
        <v>7</v>
      </c>
      <c r="BP72" s="67">
        <v>1.3</v>
      </c>
      <c r="BQ72" s="67">
        <v>1.1000000000000001</v>
      </c>
      <c r="BR72" s="67">
        <v>258</v>
      </c>
      <c r="BS72" s="67">
        <v>140</v>
      </c>
      <c r="BT72" s="67">
        <v>162</v>
      </c>
      <c r="BU72" s="67">
        <v>166</v>
      </c>
      <c r="BV72" s="67">
        <v>182</v>
      </c>
      <c r="BW72" s="67">
        <v>75</v>
      </c>
      <c r="BX72" s="67">
        <v>58</v>
      </c>
      <c r="BY72" s="67">
        <v>57</v>
      </c>
      <c r="BZ72" s="67">
        <v>120</v>
      </c>
      <c r="CA72" s="67">
        <v>55</v>
      </c>
      <c r="CB72" s="67">
        <v>69</v>
      </c>
      <c r="CC72" s="67">
        <v>127</v>
      </c>
      <c r="CD72" s="67">
        <v>159</v>
      </c>
      <c r="CE72" s="67">
        <v>147</v>
      </c>
      <c r="CF72" s="67">
        <v>184</v>
      </c>
      <c r="CG72" s="67">
        <v>130</v>
      </c>
      <c r="CH72" s="67">
        <v>45</v>
      </c>
      <c r="CI72" s="67">
        <v>140</v>
      </c>
      <c r="CJ72" s="67">
        <v>260</v>
      </c>
      <c r="CK72" s="67">
        <v>55</v>
      </c>
      <c r="CL72" s="67">
        <v>50</v>
      </c>
      <c r="CM72" s="67">
        <v>70</v>
      </c>
      <c r="CN72" s="67">
        <v>65</v>
      </c>
      <c r="CO72" s="67">
        <v>70</v>
      </c>
      <c r="CP72" s="67">
        <v>215</v>
      </c>
      <c r="CQ72" s="67">
        <v>150</v>
      </c>
      <c r="CR72" s="67">
        <v>350</v>
      </c>
      <c r="CS72" s="67">
        <v>200</v>
      </c>
      <c r="CT72" s="67">
        <v>20</v>
      </c>
      <c r="CU72" s="67">
        <v>50</v>
      </c>
      <c r="CV72" s="67">
        <v>85</v>
      </c>
      <c r="CW72" s="67" t="s">
        <v>35</v>
      </c>
      <c r="CX72" s="69">
        <f t="shared" si="2"/>
        <v>36.25</v>
      </c>
      <c r="CY72" s="69">
        <f t="shared" si="3"/>
        <v>125</v>
      </c>
      <c r="CZ72" s="69">
        <f t="shared" si="4"/>
        <v>65.399999999999991</v>
      </c>
      <c r="DA72" s="69">
        <f t="shared" si="5"/>
        <v>55.5</v>
      </c>
      <c r="DB72" s="68">
        <f t="shared" si="6"/>
        <v>89.5</v>
      </c>
      <c r="DC72" s="68"/>
      <c r="DD72" s="68"/>
      <c r="DH72" s="50" t="s">
        <v>35</v>
      </c>
    </row>
    <row r="73" spans="1:112" ht="30" x14ac:dyDescent="0.25">
      <c r="A73" s="86"/>
      <c r="B73" s="86"/>
      <c r="C73" s="56" t="s">
        <v>336</v>
      </c>
      <c r="D73" s="60">
        <v>0.4</v>
      </c>
      <c r="E73" s="60">
        <v>0.25</v>
      </c>
      <c r="F73" s="60">
        <v>0.35</v>
      </c>
      <c r="G73" s="60"/>
      <c r="H73" s="60"/>
      <c r="I73" s="60"/>
      <c r="K73" s="56" t="s">
        <v>335</v>
      </c>
      <c r="L73" s="59">
        <f>SUM(D73:I73)</f>
        <v>1</v>
      </c>
      <c r="M73" s="55" t="str">
        <f>IF(L73=1,"Total Area 100%. OK","Floor Area ≠ 100%. Error")</f>
        <v>Total Area 100%. OK</v>
      </c>
      <c r="Z73" s="64">
        <v>2050</v>
      </c>
      <c r="AA73" s="50" t="s">
        <v>35</v>
      </c>
      <c r="AB73" s="67">
        <v>50</v>
      </c>
      <c r="AC73" s="67">
        <v>100</v>
      </c>
      <c r="AD73" s="67">
        <v>55</v>
      </c>
      <c r="AE73" s="67">
        <v>40</v>
      </c>
      <c r="AF73" s="67">
        <v>4</v>
      </c>
      <c r="AG73" s="67">
        <v>1.3</v>
      </c>
      <c r="AH73" s="67">
        <v>1.1000000000000001</v>
      </c>
      <c r="AI73" s="70" t="s">
        <v>35</v>
      </c>
      <c r="AJ73" s="67">
        <v>60</v>
      </c>
      <c r="AK73" s="67">
        <v>35</v>
      </c>
      <c r="AL73" s="67">
        <v>35</v>
      </c>
      <c r="AM73" s="67">
        <v>80</v>
      </c>
      <c r="AN73" s="67">
        <v>45</v>
      </c>
      <c r="AO73" s="67">
        <v>57</v>
      </c>
      <c r="AP73" s="67">
        <v>64</v>
      </c>
      <c r="AQ73" s="67">
        <v>80</v>
      </c>
      <c r="AR73" s="67">
        <v>74</v>
      </c>
      <c r="AS73" s="67">
        <v>93</v>
      </c>
      <c r="AT73" s="67">
        <v>110</v>
      </c>
      <c r="AU73" s="67">
        <v>35</v>
      </c>
      <c r="AV73" s="67">
        <v>115</v>
      </c>
      <c r="AW73" s="67">
        <v>220</v>
      </c>
      <c r="AX73" s="67">
        <v>40</v>
      </c>
      <c r="AY73" s="67">
        <v>40</v>
      </c>
      <c r="AZ73" s="67">
        <v>40</v>
      </c>
      <c r="BA73" s="67">
        <v>35</v>
      </c>
      <c r="BB73" s="67">
        <v>45</v>
      </c>
      <c r="BC73" s="67">
        <v>180</v>
      </c>
      <c r="BD73" s="67">
        <v>60</v>
      </c>
      <c r="BE73" s="67">
        <v>250</v>
      </c>
      <c r="BF73" s="67">
        <v>110</v>
      </c>
      <c r="BG73" s="67">
        <v>20</v>
      </c>
      <c r="BH73" s="67">
        <v>40</v>
      </c>
      <c r="BI73" s="67">
        <v>65</v>
      </c>
      <c r="BJ73" s="50" t="s">
        <v>35</v>
      </c>
      <c r="BK73" s="67">
        <v>75</v>
      </c>
      <c r="BL73" s="67">
        <v>150</v>
      </c>
      <c r="BM73" s="67">
        <v>90</v>
      </c>
      <c r="BN73" s="67">
        <v>65</v>
      </c>
      <c r="BO73" s="67">
        <v>7</v>
      </c>
      <c r="BP73" s="67">
        <v>1.3</v>
      </c>
      <c r="BQ73" s="67">
        <v>1.1000000000000001</v>
      </c>
      <c r="BR73" s="67">
        <v>258</v>
      </c>
      <c r="BS73" s="67">
        <v>140</v>
      </c>
      <c r="BT73" s="67">
        <v>162</v>
      </c>
      <c r="BU73" s="67">
        <v>166</v>
      </c>
      <c r="BV73" s="67">
        <v>182</v>
      </c>
      <c r="BW73" s="67">
        <v>75</v>
      </c>
      <c r="BX73" s="67">
        <v>58</v>
      </c>
      <c r="BY73" s="67">
        <v>57</v>
      </c>
      <c r="BZ73" s="67">
        <v>120</v>
      </c>
      <c r="CA73" s="67">
        <v>55</v>
      </c>
      <c r="CB73" s="67">
        <v>69</v>
      </c>
      <c r="CC73" s="67">
        <v>127</v>
      </c>
      <c r="CD73" s="67">
        <v>159</v>
      </c>
      <c r="CE73" s="67">
        <v>147</v>
      </c>
      <c r="CF73" s="67">
        <v>184</v>
      </c>
      <c r="CG73" s="67">
        <v>130</v>
      </c>
      <c r="CH73" s="67">
        <v>45</v>
      </c>
      <c r="CI73" s="67">
        <v>140</v>
      </c>
      <c r="CJ73" s="67">
        <v>260</v>
      </c>
      <c r="CK73" s="67">
        <v>55</v>
      </c>
      <c r="CL73" s="67">
        <v>50</v>
      </c>
      <c r="CM73" s="67">
        <v>70</v>
      </c>
      <c r="CN73" s="67">
        <v>65</v>
      </c>
      <c r="CO73" s="67">
        <v>70</v>
      </c>
      <c r="CP73" s="67">
        <v>215</v>
      </c>
      <c r="CQ73" s="67">
        <v>150</v>
      </c>
      <c r="CR73" s="67">
        <v>350</v>
      </c>
      <c r="CS73" s="67">
        <v>200</v>
      </c>
      <c r="CT73" s="67">
        <v>20</v>
      </c>
      <c r="CU73" s="67">
        <v>50</v>
      </c>
      <c r="CV73" s="67">
        <v>85</v>
      </c>
      <c r="CW73" s="67" t="s">
        <v>35</v>
      </c>
      <c r="CX73" s="69">
        <f t="shared" si="2"/>
        <v>36.25</v>
      </c>
      <c r="CY73" s="69">
        <f t="shared" si="3"/>
        <v>125</v>
      </c>
      <c r="CZ73" s="69">
        <f t="shared" si="4"/>
        <v>65.399999999999991</v>
      </c>
      <c r="DA73" s="69">
        <f t="shared" si="5"/>
        <v>55.5</v>
      </c>
      <c r="DB73" s="68">
        <f t="shared" si="6"/>
        <v>89.5</v>
      </c>
      <c r="DC73" s="68"/>
      <c r="DD73" s="68"/>
      <c r="DH73" s="50" t="s">
        <v>35</v>
      </c>
    </row>
    <row r="74" spans="1:112" x14ac:dyDescent="0.25">
      <c r="A74" s="86"/>
      <c r="B74" s="86"/>
      <c r="C74" s="56" t="s">
        <v>334</v>
      </c>
      <c r="D74" s="57">
        <f t="shared" ref="D74:I74" si="7">IF(D73&gt;0,INDEX($AB$57:$CV$73,MATCH(D71,$Z$57:$Z$73,0), MATCH(D72,$AB$54:$CW$54,0)),"")</f>
        <v>39</v>
      </c>
      <c r="E74" s="57">
        <f t="shared" si="7"/>
        <v>48</v>
      </c>
      <c r="F74" s="57">
        <f t="shared" si="7"/>
        <v>43</v>
      </c>
      <c r="G74" s="57" t="str">
        <f t="shared" si="7"/>
        <v/>
      </c>
      <c r="H74" s="57" t="str">
        <f t="shared" si="7"/>
        <v/>
      </c>
      <c r="I74" s="57" t="str">
        <f t="shared" si="7"/>
        <v/>
      </c>
      <c r="K74" s="56" t="s">
        <v>333</v>
      </c>
      <c r="L74" s="58">
        <f>SUM(D81:I81)</f>
        <v>42.65</v>
      </c>
      <c r="M74" s="57"/>
      <c r="AA74" s="64"/>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67"/>
      <c r="BI74" s="67"/>
      <c r="CW74" s="67"/>
      <c r="CX74" s="67"/>
      <c r="CY74" s="67"/>
      <c r="CZ74" s="67"/>
      <c r="DA74" s="67"/>
      <c r="DB74" s="67"/>
      <c r="DC74" s="67"/>
      <c r="DD74" s="67"/>
    </row>
    <row r="75" spans="1:112" s="51" customFormat="1" ht="30" x14ac:dyDescent="0.25">
      <c r="A75" s="86"/>
      <c r="B75" s="86"/>
      <c r="C75" s="56" t="s">
        <v>332</v>
      </c>
      <c r="D75" s="55" t="str">
        <f t="shared" ref="D75:I75" si="8">IF(D73&gt;0,HLOOKUP(D72,$AA$54:$CV$56,3,0),$D75)</f>
        <v>kWh/m²GIA/yr</v>
      </c>
      <c r="E75" s="55" t="str">
        <f t="shared" si="8"/>
        <v>kWh/m²GIA/yr</v>
      </c>
      <c r="F75" s="55" t="str">
        <f t="shared" si="8"/>
        <v>kWh/m²GIA/yr</v>
      </c>
      <c r="G75" s="55" t="str">
        <f t="shared" si="8"/>
        <v>kWh/m²GIA/yr</v>
      </c>
      <c r="H75" s="55" t="str">
        <f t="shared" si="8"/>
        <v>kWh/m²GIA/yr</v>
      </c>
      <c r="I75" s="55" t="str">
        <f t="shared" si="8"/>
        <v>kWh/m²GIA/yr</v>
      </c>
      <c r="K75" s="56" t="s">
        <v>332</v>
      </c>
      <c r="L75" s="55" t="str">
        <f>IF(M75="All units match",D75,"Units mismatch")</f>
        <v>kWh/m²GIA/yr</v>
      </c>
      <c r="M75" s="55" t="str" cm="1">
        <f t="array" ref="M75">IF(AND(EXACT(D75,D75:I75)),"All units match","Units mismatch")</f>
        <v>All units match</v>
      </c>
      <c r="Z75" s="63" t="s">
        <v>375</v>
      </c>
      <c r="AB75" s="65">
        <f t="shared" ref="AB75:BG75" si="9">_xlfn.IFNA(HLOOKUP(AB$54,$D$72:$I$73,2,0),0)</f>
        <v>0</v>
      </c>
      <c r="AC75" s="65">
        <f t="shared" si="9"/>
        <v>0</v>
      </c>
      <c r="AD75" s="65">
        <f t="shared" si="9"/>
        <v>0</v>
      </c>
      <c r="AE75" s="65">
        <f t="shared" si="9"/>
        <v>0</v>
      </c>
      <c r="AF75" s="65">
        <f t="shared" si="9"/>
        <v>0</v>
      </c>
      <c r="AG75" s="65">
        <f t="shared" si="9"/>
        <v>0</v>
      </c>
      <c r="AH75" s="65">
        <f t="shared" si="9"/>
        <v>0</v>
      </c>
      <c r="AI75" s="65">
        <f t="shared" si="9"/>
        <v>0</v>
      </c>
      <c r="AJ75" s="65">
        <f t="shared" si="9"/>
        <v>0</v>
      </c>
      <c r="AK75" s="65">
        <f t="shared" si="9"/>
        <v>0</v>
      </c>
      <c r="AL75" s="65">
        <f t="shared" si="9"/>
        <v>0.4</v>
      </c>
      <c r="AM75" s="65">
        <f t="shared" si="9"/>
        <v>0</v>
      </c>
      <c r="AN75" s="65">
        <f t="shared" si="9"/>
        <v>0</v>
      </c>
      <c r="AO75" s="65">
        <f t="shared" si="9"/>
        <v>0</v>
      </c>
      <c r="AP75" s="65">
        <f t="shared" si="9"/>
        <v>0</v>
      </c>
      <c r="AQ75" s="65">
        <f t="shared" si="9"/>
        <v>0</v>
      </c>
      <c r="AR75" s="65">
        <f t="shared" si="9"/>
        <v>0</v>
      </c>
      <c r="AS75" s="65">
        <f t="shared" si="9"/>
        <v>0</v>
      </c>
      <c r="AT75" s="65">
        <f t="shared" si="9"/>
        <v>0</v>
      </c>
      <c r="AU75" s="65">
        <f t="shared" si="9"/>
        <v>0</v>
      </c>
      <c r="AV75" s="65">
        <f t="shared" si="9"/>
        <v>0</v>
      </c>
      <c r="AW75" s="65">
        <f t="shared" si="9"/>
        <v>0</v>
      </c>
      <c r="AX75" s="65">
        <f t="shared" si="9"/>
        <v>0</v>
      </c>
      <c r="AY75" s="65">
        <f t="shared" si="9"/>
        <v>0</v>
      </c>
      <c r="AZ75" s="65">
        <f t="shared" si="9"/>
        <v>0.25</v>
      </c>
      <c r="BA75" s="65">
        <f t="shared" si="9"/>
        <v>0.35</v>
      </c>
      <c r="BB75" s="65">
        <f t="shared" si="9"/>
        <v>0</v>
      </c>
      <c r="BC75" s="65">
        <f t="shared" si="9"/>
        <v>0</v>
      </c>
      <c r="BD75" s="65">
        <f t="shared" si="9"/>
        <v>0</v>
      </c>
      <c r="BE75" s="65">
        <f t="shared" si="9"/>
        <v>0</v>
      </c>
      <c r="BF75" s="65">
        <f t="shared" si="9"/>
        <v>0</v>
      </c>
      <c r="BG75" s="65">
        <f t="shared" si="9"/>
        <v>0</v>
      </c>
      <c r="BH75" s="65">
        <f t="shared" ref="BH75:CM75" si="10">_xlfn.IFNA(HLOOKUP(BH$54,$D$72:$I$73,2,0),0)</f>
        <v>0</v>
      </c>
      <c r="BI75" s="65">
        <f t="shared" si="10"/>
        <v>0</v>
      </c>
      <c r="BJ75" s="65">
        <f t="shared" si="10"/>
        <v>0</v>
      </c>
      <c r="BK75" s="65">
        <f t="shared" si="10"/>
        <v>0</v>
      </c>
      <c r="BL75" s="65">
        <f t="shared" si="10"/>
        <v>0</v>
      </c>
      <c r="BM75" s="65">
        <f t="shared" si="10"/>
        <v>0</v>
      </c>
      <c r="BN75" s="65">
        <f t="shared" si="10"/>
        <v>0</v>
      </c>
      <c r="BO75" s="65">
        <f t="shared" si="10"/>
        <v>0</v>
      </c>
      <c r="BP75" s="65">
        <f t="shared" si="10"/>
        <v>0</v>
      </c>
      <c r="BQ75" s="65">
        <f t="shared" si="10"/>
        <v>0</v>
      </c>
      <c r="BR75" s="65">
        <f t="shared" si="10"/>
        <v>0</v>
      </c>
      <c r="BS75" s="65">
        <f t="shared" si="10"/>
        <v>0</v>
      </c>
      <c r="BT75" s="65">
        <f t="shared" si="10"/>
        <v>0</v>
      </c>
      <c r="BU75" s="65">
        <f t="shared" si="10"/>
        <v>0</v>
      </c>
      <c r="BV75" s="65">
        <f t="shared" si="10"/>
        <v>0</v>
      </c>
      <c r="BW75" s="65">
        <f t="shared" si="10"/>
        <v>0</v>
      </c>
      <c r="BX75" s="65">
        <f t="shared" si="10"/>
        <v>0</v>
      </c>
      <c r="BY75" s="65">
        <f t="shared" si="10"/>
        <v>0</v>
      </c>
      <c r="BZ75" s="65">
        <f t="shared" si="10"/>
        <v>0</v>
      </c>
      <c r="CA75" s="65">
        <f t="shared" si="10"/>
        <v>0</v>
      </c>
      <c r="CB75" s="65">
        <f t="shared" si="10"/>
        <v>0</v>
      </c>
      <c r="CC75" s="65">
        <f t="shared" si="10"/>
        <v>0</v>
      </c>
      <c r="CD75" s="65">
        <f t="shared" si="10"/>
        <v>0</v>
      </c>
      <c r="CE75" s="65">
        <f t="shared" si="10"/>
        <v>0</v>
      </c>
      <c r="CF75" s="65">
        <f t="shared" si="10"/>
        <v>0</v>
      </c>
      <c r="CG75" s="65">
        <f t="shared" si="10"/>
        <v>0</v>
      </c>
      <c r="CH75" s="65">
        <f t="shared" si="10"/>
        <v>0</v>
      </c>
      <c r="CI75" s="65">
        <f t="shared" si="10"/>
        <v>0</v>
      </c>
      <c r="CJ75" s="65">
        <f t="shared" si="10"/>
        <v>0</v>
      </c>
      <c r="CK75" s="65">
        <f t="shared" si="10"/>
        <v>0</v>
      </c>
      <c r="CL75" s="65">
        <f t="shared" si="10"/>
        <v>0</v>
      </c>
      <c r="CM75" s="65">
        <f t="shared" si="10"/>
        <v>0</v>
      </c>
      <c r="CN75" s="65">
        <f t="shared" ref="CN75:CV75" si="11">_xlfn.IFNA(HLOOKUP(CN$54,$D$72:$I$73,2,0),0)</f>
        <v>0</v>
      </c>
      <c r="CO75" s="65">
        <f t="shared" si="11"/>
        <v>0</v>
      </c>
      <c r="CP75" s="65">
        <f t="shared" si="11"/>
        <v>0</v>
      </c>
      <c r="CQ75" s="65">
        <f t="shared" si="11"/>
        <v>0</v>
      </c>
      <c r="CR75" s="65">
        <f t="shared" si="11"/>
        <v>0</v>
      </c>
      <c r="CS75" s="65">
        <f t="shared" si="11"/>
        <v>0</v>
      </c>
      <c r="CT75" s="65">
        <f t="shared" si="11"/>
        <v>0</v>
      </c>
      <c r="CU75" s="65">
        <f t="shared" si="11"/>
        <v>0</v>
      </c>
      <c r="CV75" s="65">
        <f t="shared" si="11"/>
        <v>0</v>
      </c>
      <c r="CW75" s="66"/>
      <c r="CX75" s="66"/>
      <c r="CY75" s="66"/>
      <c r="CZ75" s="66"/>
      <c r="DA75" s="66"/>
      <c r="DB75" s="66"/>
      <c r="DC75" s="66"/>
      <c r="DD75" s="66"/>
    </row>
    <row r="76" spans="1:112" ht="30" x14ac:dyDescent="0.25">
      <c r="Z76" s="63" t="s">
        <v>374</v>
      </c>
      <c r="AB76" s="65">
        <f t="shared" ref="AB76:BG76" si="12">_xlfn.IFNA(HLOOKUP(AB$54,$D$85:$I$86,2,0),0)</f>
        <v>0</v>
      </c>
      <c r="AC76" s="65">
        <f t="shared" si="12"/>
        <v>0</v>
      </c>
      <c r="AD76" s="65">
        <f t="shared" si="12"/>
        <v>0</v>
      </c>
      <c r="AE76" s="65">
        <f t="shared" si="12"/>
        <v>0</v>
      </c>
      <c r="AF76" s="65">
        <f t="shared" si="12"/>
        <v>0</v>
      </c>
      <c r="AG76" s="65">
        <f t="shared" si="12"/>
        <v>0</v>
      </c>
      <c r="AH76" s="65">
        <f t="shared" si="12"/>
        <v>0</v>
      </c>
      <c r="AI76" s="65">
        <f t="shared" si="12"/>
        <v>0</v>
      </c>
      <c r="AJ76" s="65">
        <f t="shared" si="12"/>
        <v>0</v>
      </c>
      <c r="AK76" s="65">
        <f t="shared" si="12"/>
        <v>0</v>
      </c>
      <c r="AL76" s="65">
        <f t="shared" si="12"/>
        <v>0</v>
      </c>
      <c r="AM76" s="65">
        <f t="shared" si="12"/>
        <v>0</v>
      </c>
      <c r="AN76" s="65">
        <f t="shared" si="12"/>
        <v>0</v>
      </c>
      <c r="AO76" s="65">
        <f t="shared" si="12"/>
        <v>0</v>
      </c>
      <c r="AP76" s="65">
        <f t="shared" si="12"/>
        <v>0</v>
      </c>
      <c r="AQ76" s="65">
        <f t="shared" si="12"/>
        <v>0</v>
      </c>
      <c r="AR76" s="65">
        <f t="shared" si="12"/>
        <v>0</v>
      </c>
      <c r="AS76" s="65">
        <f t="shared" si="12"/>
        <v>0</v>
      </c>
      <c r="AT76" s="65">
        <f t="shared" si="12"/>
        <v>0</v>
      </c>
      <c r="AU76" s="65">
        <f t="shared" si="12"/>
        <v>0</v>
      </c>
      <c r="AV76" s="65">
        <f t="shared" si="12"/>
        <v>0</v>
      </c>
      <c r="AW76" s="65">
        <f t="shared" si="12"/>
        <v>0</v>
      </c>
      <c r="AX76" s="65">
        <f t="shared" si="12"/>
        <v>0</v>
      </c>
      <c r="AY76" s="65">
        <f t="shared" si="12"/>
        <v>0</v>
      </c>
      <c r="AZ76" s="65">
        <f t="shared" si="12"/>
        <v>0</v>
      </c>
      <c r="BA76" s="65">
        <f t="shared" si="12"/>
        <v>0</v>
      </c>
      <c r="BB76" s="65">
        <f t="shared" si="12"/>
        <v>0</v>
      </c>
      <c r="BC76" s="65">
        <f t="shared" si="12"/>
        <v>0</v>
      </c>
      <c r="BD76" s="65">
        <f t="shared" si="12"/>
        <v>0.4</v>
      </c>
      <c r="BE76" s="65">
        <f t="shared" si="12"/>
        <v>0.25</v>
      </c>
      <c r="BF76" s="65">
        <f t="shared" si="12"/>
        <v>0.35</v>
      </c>
      <c r="BG76" s="65">
        <f t="shared" si="12"/>
        <v>0</v>
      </c>
      <c r="BH76" s="65">
        <f t="shared" ref="BH76:CM76" si="13">_xlfn.IFNA(HLOOKUP(BH$54,$D$85:$I$86,2,0),0)</f>
        <v>0</v>
      </c>
      <c r="BI76" s="65">
        <f t="shared" si="13"/>
        <v>0</v>
      </c>
      <c r="BJ76" s="65">
        <f t="shared" si="13"/>
        <v>0</v>
      </c>
      <c r="BK76" s="65">
        <f t="shared" si="13"/>
        <v>0</v>
      </c>
      <c r="BL76" s="65">
        <f t="shared" si="13"/>
        <v>0</v>
      </c>
      <c r="BM76" s="65">
        <f t="shared" si="13"/>
        <v>0</v>
      </c>
      <c r="BN76" s="65">
        <f t="shared" si="13"/>
        <v>0</v>
      </c>
      <c r="BO76" s="65">
        <f t="shared" si="13"/>
        <v>0</v>
      </c>
      <c r="BP76" s="65">
        <f t="shared" si="13"/>
        <v>0</v>
      </c>
      <c r="BQ76" s="65">
        <f t="shared" si="13"/>
        <v>0</v>
      </c>
      <c r="BR76" s="65">
        <f t="shared" si="13"/>
        <v>0</v>
      </c>
      <c r="BS76" s="65">
        <f t="shared" si="13"/>
        <v>0</v>
      </c>
      <c r="BT76" s="65">
        <f t="shared" si="13"/>
        <v>0</v>
      </c>
      <c r="BU76" s="65">
        <f t="shared" si="13"/>
        <v>0</v>
      </c>
      <c r="BV76" s="65">
        <f t="shared" si="13"/>
        <v>0</v>
      </c>
      <c r="BW76" s="65">
        <f t="shared" si="13"/>
        <v>0</v>
      </c>
      <c r="BX76" s="65">
        <f t="shared" si="13"/>
        <v>0</v>
      </c>
      <c r="BY76" s="65">
        <f t="shared" si="13"/>
        <v>0</v>
      </c>
      <c r="BZ76" s="65">
        <f t="shared" si="13"/>
        <v>0</v>
      </c>
      <c r="CA76" s="65">
        <f t="shared" si="13"/>
        <v>0</v>
      </c>
      <c r="CB76" s="65">
        <f t="shared" si="13"/>
        <v>0</v>
      </c>
      <c r="CC76" s="65">
        <f t="shared" si="13"/>
        <v>0</v>
      </c>
      <c r="CD76" s="65">
        <f t="shared" si="13"/>
        <v>0</v>
      </c>
      <c r="CE76" s="65">
        <f t="shared" si="13"/>
        <v>0</v>
      </c>
      <c r="CF76" s="65">
        <f t="shared" si="13"/>
        <v>0</v>
      </c>
      <c r="CG76" s="65">
        <f t="shared" si="13"/>
        <v>0</v>
      </c>
      <c r="CH76" s="65">
        <f t="shared" si="13"/>
        <v>0</v>
      </c>
      <c r="CI76" s="65">
        <f t="shared" si="13"/>
        <v>0</v>
      </c>
      <c r="CJ76" s="65">
        <f t="shared" si="13"/>
        <v>0</v>
      </c>
      <c r="CK76" s="65">
        <f t="shared" si="13"/>
        <v>0</v>
      </c>
      <c r="CL76" s="65">
        <f t="shared" si="13"/>
        <v>0</v>
      </c>
      <c r="CM76" s="65">
        <f t="shared" si="13"/>
        <v>0</v>
      </c>
      <c r="CN76" s="65">
        <f t="shared" ref="CN76:CV76" si="14">_xlfn.IFNA(HLOOKUP(CN$54,$D$85:$I$86,2,0),0)</f>
        <v>0</v>
      </c>
      <c r="CO76" s="65">
        <f t="shared" si="14"/>
        <v>0</v>
      </c>
      <c r="CP76" s="65">
        <f t="shared" si="14"/>
        <v>0</v>
      </c>
      <c r="CQ76" s="65">
        <f t="shared" si="14"/>
        <v>0</v>
      </c>
      <c r="CR76" s="65">
        <f t="shared" si="14"/>
        <v>0</v>
      </c>
      <c r="CS76" s="65">
        <f t="shared" si="14"/>
        <v>0</v>
      </c>
      <c r="CT76" s="65">
        <f t="shared" si="14"/>
        <v>0</v>
      </c>
      <c r="CU76" s="65">
        <f t="shared" si="14"/>
        <v>0</v>
      </c>
      <c r="CV76" s="65">
        <f t="shared" si="14"/>
        <v>0</v>
      </c>
      <c r="CW76" s="67"/>
      <c r="CX76" s="67"/>
      <c r="CY76" s="67"/>
      <c r="CZ76" s="67"/>
      <c r="DA76" s="67"/>
      <c r="DB76" s="67"/>
      <c r="DC76" s="67"/>
      <c r="DD76" s="67"/>
    </row>
    <row r="77" spans="1:112" s="51" customFormat="1" ht="30" x14ac:dyDescent="0.25">
      <c r="A77" s="87" t="s">
        <v>373</v>
      </c>
      <c r="B77" s="87"/>
      <c r="C77" s="53" t="s">
        <v>330</v>
      </c>
      <c r="D77" s="54" t="str">
        <f t="shared" ref="D77:I77" si="15">HLOOKUP(D72,$AA$54:$CV$56,2,0)</f>
        <v>NB Home Flat.</v>
      </c>
      <c r="E77" s="54" t="str">
        <f t="shared" si="15"/>
        <v>NB School E.Y.</v>
      </c>
      <c r="F77" s="54" t="str">
        <f t="shared" si="15"/>
        <v>NB School Pri.</v>
      </c>
      <c r="G77" s="54" t="e">
        <f t="shared" si="15"/>
        <v>#N/A</v>
      </c>
      <c r="H77" s="54" t="e">
        <f t="shared" si="15"/>
        <v>#N/A</v>
      </c>
      <c r="I77" s="54" t="e">
        <f t="shared" si="15"/>
        <v>#N/A</v>
      </c>
      <c r="Z77" s="63" t="s">
        <v>372</v>
      </c>
      <c r="AB77" s="65">
        <f t="shared" ref="AB77:BG77" si="16">_xlfn.IFNA(HLOOKUP(AB$54,$D$98:$I$99,2,0),0)</f>
        <v>0</v>
      </c>
      <c r="AC77" s="65">
        <f t="shared" si="16"/>
        <v>0</v>
      </c>
      <c r="AD77" s="65">
        <f t="shared" si="16"/>
        <v>0</v>
      </c>
      <c r="AE77" s="65">
        <f t="shared" si="16"/>
        <v>0</v>
      </c>
      <c r="AF77" s="65">
        <f t="shared" si="16"/>
        <v>0</v>
      </c>
      <c r="AG77" s="65">
        <f t="shared" si="16"/>
        <v>0</v>
      </c>
      <c r="AH77" s="65">
        <f t="shared" si="16"/>
        <v>0</v>
      </c>
      <c r="AI77" s="65">
        <f t="shared" si="16"/>
        <v>0</v>
      </c>
      <c r="AJ77" s="65">
        <f t="shared" si="16"/>
        <v>0</v>
      </c>
      <c r="AK77" s="65">
        <f t="shared" si="16"/>
        <v>0</v>
      </c>
      <c r="AL77" s="65">
        <f t="shared" si="16"/>
        <v>0</v>
      </c>
      <c r="AM77" s="65">
        <f t="shared" si="16"/>
        <v>0</v>
      </c>
      <c r="AN77" s="65">
        <f t="shared" si="16"/>
        <v>0</v>
      </c>
      <c r="AO77" s="65">
        <f t="shared" si="16"/>
        <v>0.3</v>
      </c>
      <c r="AP77" s="65">
        <f t="shared" si="16"/>
        <v>0</v>
      </c>
      <c r="AQ77" s="65">
        <f t="shared" si="16"/>
        <v>0</v>
      </c>
      <c r="AR77" s="65">
        <f t="shared" si="16"/>
        <v>0</v>
      </c>
      <c r="AS77" s="65">
        <f t="shared" si="16"/>
        <v>0</v>
      </c>
      <c r="AT77" s="65">
        <f t="shared" si="16"/>
        <v>0</v>
      </c>
      <c r="AU77" s="65">
        <f t="shared" si="16"/>
        <v>0</v>
      </c>
      <c r="AV77" s="65">
        <f t="shared" si="16"/>
        <v>0</v>
      </c>
      <c r="AW77" s="65">
        <f t="shared" si="16"/>
        <v>0</v>
      </c>
      <c r="AX77" s="65">
        <f t="shared" si="16"/>
        <v>0</v>
      </c>
      <c r="AY77" s="65">
        <f t="shared" si="16"/>
        <v>0</v>
      </c>
      <c r="AZ77" s="65">
        <f t="shared" si="16"/>
        <v>0</v>
      </c>
      <c r="BA77" s="65">
        <f t="shared" si="16"/>
        <v>0</v>
      </c>
      <c r="BB77" s="65">
        <f t="shared" si="16"/>
        <v>0</v>
      </c>
      <c r="BC77" s="65">
        <f t="shared" si="16"/>
        <v>0</v>
      </c>
      <c r="BD77" s="65">
        <f t="shared" si="16"/>
        <v>0</v>
      </c>
      <c r="BE77" s="65">
        <f t="shared" si="16"/>
        <v>0</v>
      </c>
      <c r="BF77" s="65">
        <f t="shared" si="16"/>
        <v>0</v>
      </c>
      <c r="BG77" s="65">
        <f t="shared" si="16"/>
        <v>0</v>
      </c>
      <c r="BH77" s="65">
        <f t="shared" ref="BH77:CM77" si="17">_xlfn.IFNA(HLOOKUP(BH$54,$D$98:$I$99,2,0),0)</f>
        <v>0</v>
      </c>
      <c r="BI77" s="65">
        <f t="shared" si="17"/>
        <v>0</v>
      </c>
      <c r="BJ77" s="65">
        <f t="shared" si="17"/>
        <v>0</v>
      </c>
      <c r="BK77" s="65">
        <f t="shared" si="17"/>
        <v>0</v>
      </c>
      <c r="BL77" s="65">
        <f t="shared" si="17"/>
        <v>0</v>
      </c>
      <c r="BM77" s="65">
        <f t="shared" si="17"/>
        <v>0</v>
      </c>
      <c r="BN77" s="65">
        <f t="shared" si="17"/>
        <v>0</v>
      </c>
      <c r="BO77" s="65">
        <f t="shared" si="17"/>
        <v>0</v>
      </c>
      <c r="BP77" s="65">
        <f t="shared" si="17"/>
        <v>0</v>
      </c>
      <c r="BQ77" s="65">
        <f t="shared" si="17"/>
        <v>0</v>
      </c>
      <c r="BR77" s="65">
        <f t="shared" si="17"/>
        <v>0</v>
      </c>
      <c r="BS77" s="65">
        <f t="shared" si="17"/>
        <v>0</v>
      </c>
      <c r="BT77" s="65">
        <f t="shared" si="17"/>
        <v>0</v>
      </c>
      <c r="BU77" s="65">
        <f t="shared" si="17"/>
        <v>0</v>
      </c>
      <c r="BV77" s="65">
        <f t="shared" si="17"/>
        <v>0</v>
      </c>
      <c r="BW77" s="65">
        <f t="shared" si="17"/>
        <v>0</v>
      </c>
      <c r="BX77" s="65">
        <f t="shared" si="17"/>
        <v>0</v>
      </c>
      <c r="BY77" s="65">
        <f t="shared" si="17"/>
        <v>0</v>
      </c>
      <c r="BZ77" s="65">
        <f t="shared" si="17"/>
        <v>0</v>
      </c>
      <c r="CA77" s="65">
        <f t="shared" si="17"/>
        <v>0</v>
      </c>
      <c r="CB77" s="65">
        <f t="shared" si="17"/>
        <v>0.7</v>
      </c>
      <c r="CC77" s="65">
        <f t="shared" si="17"/>
        <v>0</v>
      </c>
      <c r="CD77" s="65">
        <f t="shared" si="17"/>
        <v>0</v>
      </c>
      <c r="CE77" s="65">
        <f t="shared" si="17"/>
        <v>0</v>
      </c>
      <c r="CF77" s="65">
        <f t="shared" si="17"/>
        <v>0</v>
      </c>
      <c r="CG77" s="65">
        <f t="shared" si="17"/>
        <v>0</v>
      </c>
      <c r="CH77" s="65">
        <f t="shared" si="17"/>
        <v>0</v>
      </c>
      <c r="CI77" s="65">
        <f t="shared" si="17"/>
        <v>0</v>
      </c>
      <c r="CJ77" s="65">
        <f t="shared" si="17"/>
        <v>0</v>
      </c>
      <c r="CK77" s="65">
        <f t="shared" si="17"/>
        <v>0</v>
      </c>
      <c r="CL77" s="65">
        <f t="shared" si="17"/>
        <v>0</v>
      </c>
      <c r="CM77" s="65">
        <f t="shared" si="17"/>
        <v>0</v>
      </c>
      <c r="CN77" s="65">
        <f t="shared" ref="CN77:CV77" si="18">_xlfn.IFNA(HLOOKUP(CN$54,$D$98:$I$99,2,0),0)</f>
        <v>0</v>
      </c>
      <c r="CO77" s="65">
        <f t="shared" si="18"/>
        <v>0</v>
      </c>
      <c r="CP77" s="65">
        <f t="shared" si="18"/>
        <v>0</v>
      </c>
      <c r="CQ77" s="65">
        <f t="shared" si="18"/>
        <v>0</v>
      </c>
      <c r="CR77" s="65">
        <f t="shared" si="18"/>
        <v>0</v>
      </c>
      <c r="CS77" s="65">
        <f t="shared" si="18"/>
        <v>0</v>
      </c>
      <c r="CT77" s="65">
        <f t="shared" si="18"/>
        <v>0</v>
      </c>
      <c r="CU77" s="65">
        <f t="shared" si="18"/>
        <v>0</v>
      </c>
      <c r="CV77" s="65">
        <f t="shared" si="18"/>
        <v>0</v>
      </c>
      <c r="CW77" s="66"/>
      <c r="CX77" s="66"/>
      <c r="CY77" s="66"/>
      <c r="CZ77" s="66"/>
      <c r="DA77" s="66"/>
      <c r="DB77" s="66"/>
      <c r="DC77" s="66"/>
      <c r="DD77" s="66"/>
    </row>
    <row r="78" spans="1:112" s="51" customFormat="1" ht="30" x14ac:dyDescent="0.25">
      <c r="A78" s="87"/>
      <c r="B78" s="87"/>
      <c r="C78" s="53" t="s">
        <v>329</v>
      </c>
      <c r="D78" s="54" t="str">
        <f t="shared" ref="D78:I78" si="19">D73*100&amp;"%_"&amp;D77</f>
        <v>40%_NB Home Flat.</v>
      </c>
      <c r="E78" s="54" t="str">
        <f t="shared" si="19"/>
        <v>25%_NB School E.Y.</v>
      </c>
      <c r="F78" s="54" t="str">
        <f t="shared" si="19"/>
        <v>35%_NB School Pri.</v>
      </c>
      <c r="G78" s="54" t="e">
        <f t="shared" si="19"/>
        <v>#N/A</v>
      </c>
      <c r="H78" s="54" t="e">
        <f t="shared" si="19"/>
        <v>#N/A</v>
      </c>
      <c r="I78" s="54" t="e">
        <f t="shared" si="19"/>
        <v>#N/A</v>
      </c>
      <c r="Z78" s="63" t="s">
        <v>371</v>
      </c>
      <c r="AB78" s="65">
        <f t="shared" ref="AB78:BG78" si="20">_xlfn.IFNA(HLOOKUP(AB$54,$D$111:$I$112,2,0),0)</f>
        <v>0</v>
      </c>
      <c r="AC78" s="65">
        <f t="shared" si="20"/>
        <v>0</v>
      </c>
      <c r="AD78" s="65">
        <f t="shared" si="20"/>
        <v>0</v>
      </c>
      <c r="AE78" s="65">
        <f t="shared" si="20"/>
        <v>0</v>
      </c>
      <c r="AF78" s="65">
        <f t="shared" si="20"/>
        <v>0</v>
      </c>
      <c r="AG78" s="65">
        <f t="shared" si="20"/>
        <v>0</v>
      </c>
      <c r="AH78" s="65">
        <f t="shared" si="20"/>
        <v>0</v>
      </c>
      <c r="AI78" s="65">
        <f t="shared" si="20"/>
        <v>0</v>
      </c>
      <c r="AJ78" s="65">
        <f t="shared" si="20"/>
        <v>0</v>
      </c>
      <c r="AK78" s="65">
        <f t="shared" si="20"/>
        <v>0</v>
      </c>
      <c r="AL78" s="65">
        <f t="shared" si="20"/>
        <v>0</v>
      </c>
      <c r="AM78" s="65">
        <f t="shared" si="20"/>
        <v>0</v>
      </c>
      <c r="AN78" s="65">
        <f t="shared" si="20"/>
        <v>0.28000000000000003</v>
      </c>
      <c r="AO78" s="65">
        <f t="shared" si="20"/>
        <v>0</v>
      </c>
      <c r="AP78" s="65">
        <f t="shared" si="20"/>
        <v>0</v>
      </c>
      <c r="AQ78" s="65">
        <f t="shared" si="20"/>
        <v>0</v>
      </c>
      <c r="AR78" s="65">
        <f t="shared" si="20"/>
        <v>0</v>
      </c>
      <c r="AS78" s="65">
        <f t="shared" si="20"/>
        <v>0</v>
      </c>
      <c r="AT78" s="65">
        <f t="shared" si="20"/>
        <v>0</v>
      </c>
      <c r="AU78" s="65">
        <f t="shared" si="20"/>
        <v>0</v>
      </c>
      <c r="AV78" s="65">
        <f t="shared" si="20"/>
        <v>0</v>
      </c>
      <c r="AW78" s="65">
        <f t="shared" si="20"/>
        <v>0.02</v>
      </c>
      <c r="AX78" s="65">
        <f t="shared" si="20"/>
        <v>0</v>
      </c>
      <c r="AY78" s="65">
        <f t="shared" si="20"/>
        <v>0</v>
      </c>
      <c r="AZ78" s="65">
        <f t="shared" si="20"/>
        <v>0</v>
      </c>
      <c r="BA78" s="65">
        <f t="shared" si="20"/>
        <v>0</v>
      </c>
      <c r="BB78" s="65">
        <f t="shared" si="20"/>
        <v>0</v>
      </c>
      <c r="BC78" s="65">
        <f t="shared" si="20"/>
        <v>0</v>
      </c>
      <c r="BD78" s="65">
        <f t="shared" si="20"/>
        <v>0</v>
      </c>
      <c r="BE78" s="65">
        <f t="shared" si="20"/>
        <v>0</v>
      </c>
      <c r="BF78" s="65">
        <f t="shared" si="20"/>
        <v>0</v>
      </c>
      <c r="BG78" s="65">
        <f t="shared" si="20"/>
        <v>0</v>
      </c>
      <c r="BH78" s="65">
        <f t="shared" ref="BH78:CM78" si="21">_xlfn.IFNA(HLOOKUP(BH$54,$D$111:$I$112,2,0),0)</f>
        <v>0</v>
      </c>
      <c r="BI78" s="65">
        <f t="shared" si="21"/>
        <v>0</v>
      </c>
      <c r="BJ78" s="65">
        <f t="shared" si="21"/>
        <v>0</v>
      </c>
      <c r="BK78" s="65">
        <f t="shared" si="21"/>
        <v>0</v>
      </c>
      <c r="BL78" s="65">
        <f t="shared" si="21"/>
        <v>0</v>
      </c>
      <c r="BM78" s="65">
        <f t="shared" si="21"/>
        <v>0</v>
      </c>
      <c r="BN78" s="65">
        <f t="shared" si="21"/>
        <v>0</v>
      </c>
      <c r="BO78" s="65">
        <f t="shared" si="21"/>
        <v>0</v>
      </c>
      <c r="BP78" s="65">
        <f t="shared" si="21"/>
        <v>0</v>
      </c>
      <c r="BQ78" s="65">
        <f t="shared" si="21"/>
        <v>0</v>
      </c>
      <c r="BR78" s="65">
        <f t="shared" si="21"/>
        <v>0</v>
      </c>
      <c r="BS78" s="65">
        <f t="shared" si="21"/>
        <v>0</v>
      </c>
      <c r="BT78" s="65">
        <f t="shared" si="21"/>
        <v>0</v>
      </c>
      <c r="BU78" s="65">
        <f t="shared" si="21"/>
        <v>0</v>
      </c>
      <c r="BV78" s="65">
        <f t="shared" si="21"/>
        <v>0</v>
      </c>
      <c r="BW78" s="65">
        <f t="shared" si="21"/>
        <v>0</v>
      </c>
      <c r="BX78" s="65">
        <f t="shared" si="21"/>
        <v>0</v>
      </c>
      <c r="BY78" s="65">
        <f t="shared" si="21"/>
        <v>0</v>
      </c>
      <c r="BZ78" s="65">
        <f t="shared" si="21"/>
        <v>0</v>
      </c>
      <c r="CA78" s="65">
        <f t="shared" si="21"/>
        <v>0.7</v>
      </c>
      <c r="CB78" s="65">
        <f t="shared" si="21"/>
        <v>0</v>
      </c>
      <c r="CC78" s="65">
        <f t="shared" si="21"/>
        <v>0</v>
      </c>
      <c r="CD78" s="65">
        <f t="shared" si="21"/>
        <v>0</v>
      </c>
      <c r="CE78" s="65">
        <f t="shared" si="21"/>
        <v>0</v>
      </c>
      <c r="CF78" s="65">
        <f t="shared" si="21"/>
        <v>0</v>
      </c>
      <c r="CG78" s="65">
        <f t="shared" si="21"/>
        <v>0</v>
      </c>
      <c r="CH78" s="65">
        <f t="shared" si="21"/>
        <v>0</v>
      </c>
      <c r="CI78" s="65">
        <f t="shared" si="21"/>
        <v>0</v>
      </c>
      <c r="CJ78" s="65">
        <f t="shared" si="21"/>
        <v>0</v>
      </c>
      <c r="CK78" s="65">
        <f t="shared" si="21"/>
        <v>0</v>
      </c>
      <c r="CL78" s="65">
        <f t="shared" si="21"/>
        <v>0</v>
      </c>
      <c r="CM78" s="65">
        <f t="shared" si="21"/>
        <v>0</v>
      </c>
      <c r="CN78" s="65">
        <f t="shared" ref="CN78:CV78" si="22">_xlfn.IFNA(HLOOKUP(CN$54,$D$111:$I$112,2,0),0)</f>
        <v>0</v>
      </c>
      <c r="CO78" s="65">
        <f t="shared" si="22"/>
        <v>0</v>
      </c>
      <c r="CP78" s="65">
        <f t="shared" si="22"/>
        <v>0</v>
      </c>
      <c r="CQ78" s="65">
        <f t="shared" si="22"/>
        <v>0</v>
      </c>
      <c r="CR78" s="65">
        <f t="shared" si="22"/>
        <v>0</v>
      </c>
      <c r="CS78" s="65">
        <f t="shared" si="22"/>
        <v>0</v>
      </c>
      <c r="CT78" s="65">
        <f t="shared" si="22"/>
        <v>0</v>
      </c>
      <c r="CU78" s="65">
        <f t="shared" si="22"/>
        <v>0</v>
      </c>
      <c r="CV78" s="65">
        <f t="shared" si="22"/>
        <v>0</v>
      </c>
      <c r="CW78" s="66"/>
      <c r="CX78" s="66"/>
      <c r="CY78" s="66"/>
      <c r="CZ78" s="66"/>
      <c r="DA78" s="66"/>
      <c r="DB78" s="66"/>
      <c r="DC78" s="66"/>
      <c r="DD78" s="66"/>
    </row>
    <row r="79" spans="1:112" s="51" customFormat="1" ht="66" customHeight="1" x14ac:dyDescent="0.25">
      <c r="A79" s="87"/>
      <c r="B79" s="87"/>
      <c r="C79" s="53" t="s">
        <v>328</v>
      </c>
      <c r="D79" s="54" t="str">
        <f>IF(SUM(E73:$I73)&gt;0," + "&amp;CHAR(10),"")</f>
        <v xml:space="preserve"> + 
</v>
      </c>
      <c r="E79" s="54" t="str">
        <f>IF(SUM(F73:$I73)&gt;0," + "&amp;CHAR(10),"")</f>
        <v xml:space="preserve"> + 
</v>
      </c>
      <c r="F79" s="54" t="str">
        <f>IF(SUM(G73:$I73)&gt;0," + "&amp;CHAR(10),"")</f>
        <v/>
      </c>
      <c r="G79" s="54" t="str">
        <f>IF(SUM(H73:$I73)&gt;0," + "&amp;CHAR(10),"")</f>
        <v/>
      </c>
      <c r="H79" s="54" t="str">
        <f>IF(SUM(I73:$I73)&gt;0," + "&amp;CHAR(10),"")</f>
        <v/>
      </c>
      <c r="I79" s="54" t="str">
        <f>IF(SUM($I73:J73)&gt;0," + "&amp;CHAR(10),"")</f>
        <v/>
      </c>
      <c r="Z79" s="63" t="s">
        <v>370</v>
      </c>
      <c r="AA79" s="63"/>
      <c r="AB79" s="65">
        <f t="shared" ref="AB79:BG79" si="23">_xlfn.IFNA(HLOOKUP(AB$54,$D$124:$I$125,2,0),0)</f>
        <v>0</v>
      </c>
      <c r="AC79" s="65">
        <f t="shared" si="23"/>
        <v>0</v>
      </c>
      <c r="AD79" s="65">
        <f t="shared" si="23"/>
        <v>0</v>
      </c>
      <c r="AE79" s="65">
        <f t="shared" si="23"/>
        <v>0</v>
      </c>
      <c r="AF79" s="65">
        <f t="shared" si="23"/>
        <v>0</v>
      </c>
      <c r="AG79" s="65">
        <f t="shared" si="23"/>
        <v>0</v>
      </c>
      <c r="AH79" s="65">
        <f t="shared" si="23"/>
        <v>0</v>
      </c>
      <c r="AI79" s="65">
        <f t="shared" si="23"/>
        <v>0</v>
      </c>
      <c r="AJ79" s="65">
        <f t="shared" si="23"/>
        <v>0</v>
      </c>
      <c r="AK79" s="65">
        <f t="shared" si="23"/>
        <v>0</v>
      </c>
      <c r="AL79" s="65">
        <f t="shared" si="23"/>
        <v>0</v>
      </c>
      <c r="AM79" s="65">
        <f t="shared" si="23"/>
        <v>0</v>
      </c>
      <c r="AN79" s="65">
        <f t="shared" si="23"/>
        <v>0</v>
      </c>
      <c r="AO79" s="65">
        <f t="shared" si="23"/>
        <v>0</v>
      </c>
      <c r="AP79" s="65">
        <f t="shared" si="23"/>
        <v>0</v>
      </c>
      <c r="AQ79" s="65">
        <f t="shared" si="23"/>
        <v>0</v>
      </c>
      <c r="AR79" s="65">
        <f t="shared" si="23"/>
        <v>0</v>
      </c>
      <c r="AS79" s="65">
        <f t="shared" si="23"/>
        <v>0</v>
      </c>
      <c r="AT79" s="65">
        <f t="shared" si="23"/>
        <v>0</v>
      </c>
      <c r="AU79" s="65">
        <f t="shared" si="23"/>
        <v>0</v>
      </c>
      <c r="AV79" s="65">
        <f t="shared" si="23"/>
        <v>0</v>
      </c>
      <c r="AW79" s="65">
        <f t="shared" si="23"/>
        <v>0.1</v>
      </c>
      <c r="AX79" s="65">
        <f t="shared" si="23"/>
        <v>0</v>
      </c>
      <c r="AY79" s="65">
        <f t="shared" si="23"/>
        <v>0</v>
      </c>
      <c r="AZ79" s="65">
        <f t="shared" si="23"/>
        <v>0</v>
      </c>
      <c r="BA79" s="65">
        <f t="shared" si="23"/>
        <v>0</v>
      </c>
      <c r="BB79" s="65">
        <f t="shared" si="23"/>
        <v>0</v>
      </c>
      <c r="BC79" s="65">
        <f t="shared" si="23"/>
        <v>0</v>
      </c>
      <c r="BD79" s="65">
        <f t="shared" si="23"/>
        <v>0</v>
      </c>
      <c r="BE79" s="65">
        <f t="shared" si="23"/>
        <v>0</v>
      </c>
      <c r="BF79" s="65">
        <f t="shared" si="23"/>
        <v>0</v>
      </c>
      <c r="BG79" s="65">
        <f t="shared" si="23"/>
        <v>0</v>
      </c>
      <c r="BH79" s="65">
        <f t="shared" ref="BH79:CM79" si="24">_xlfn.IFNA(HLOOKUP(BH$54,$D$124:$I$125,2,0),0)</f>
        <v>0</v>
      </c>
      <c r="BI79" s="65">
        <f t="shared" si="24"/>
        <v>0</v>
      </c>
      <c r="BJ79" s="65">
        <f t="shared" si="24"/>
        <v>0</v>
      </c>
      <c r="BK79" s="65">
        <f t="shared" si="24"/>
        <v>0.7</v>
      </c>
      <c r="BL79" s="65">
        <f t="shared" si="24"/>
        <v>0</v>
      </c>
      <c r="BM79" s="65">
        <f t="shared" si="24"/>
        <v>0</v>
      </c>
      <c r="BN79" s="65">
        <f t="shared" si="24"/>
        <v>0</v>
      </c>
      <c r="BO79" s="65">
        <f t="shared" si="24"/>
        <v>0</v>
      </c>
      <c r="BP79" s="65">
        <f t="shared" si="24"/>
        <v>0</v>
      </c>
      <c r="BQ79" s="65">
        <f t="shared" si="24"/>
        <v>0</v>
      </c>
      <c r="BR79" s="65">
        <f t="shared" si="24"/>
        <v>0</v>
      </c>
      <c r="BS79" s="65">
        <f t="shared" si="24"/>
        <v>0</v>
      </c>
      <c r="BT79" s="65">
        <f t="shared" si="24"/>
        <v>0</v>
      </c>
      <c r="BU79" s="65">
        <f t="shared" si="24"/>
        <v>0</v>
      </c>
      <c r="BV79" s="65">
        <f t="shared" si="24"/>
        <v>0</v>
      </c>
      <c r="BW79" s="65">
        <f t="shared" si="24"/>
        <v>0.2</v>
      </c>
      <c r="BX79" s="65">
        <f t="shared" si="24"/>
        <v>0</v>
      </c>
      <c r="BY79" s="65">
        <f t="shared" si="24"/>
        <v>0</v>
      </c>
      <c r="BZ79" s="65">
        <f t="shared" si="24"/>
        <v>0</v>
      </c>
      <c r="CA79" s="65">
        <f t="shared" si="24"/>
        <v>0</v>
      </c>
      <c r="CB79" s="65">
        <f t="shared" si="24"/>
        <v>0</v>
      </c>
      <c r="CC79" s="65">
        <f t="shared" si="24"/>
        <v>0</v>
      </c>
      <c r="CD79" s="65">
        <f t="shared" si="24"/>
        <v>0</v>
      </c>
      <c r="CE79" s="65">
        <f t="shared" si="24"/>
        <v>0</v>
      </c>
      <c r="CF79" s="65">
        <f t="shared" si="24"/>
        <v>0</v>
      </c>
      <c r="CG79" s="65">
        <f t="shared" si="24"/>
        <v>0</v>
      </c>
      <c r="CH79" s="65">
        <f t="shared" si="24"/>
        <v>0</v>
      </c>
      <c r="CI79" s="65">
        <f t="shared" si="24"/>
        <v>0</v>
      </c>
      <c r="CJ79" s="65">
        <f t="shared" si="24"/>
        <v>0</v>
      </c>
      <c r="CK79" s="65">
        <f t="shared" si="24"/>
        <v>0</v>
      </c>
      <c r="CL79" s="65">
        <f t="shared" si="24"/>
        <v>0</v>
      </c>
      <c r="CM79" s="65">
        <f t="shared" si="24"/>
        <v>0</v>
      </c>
      <c r="CN79" s="65">
        <f t="shared" ref="CN79:CV79" si="25">_xlfn.IFNA(HLOOKUP(CN$54,$D$124:$I$125,2,0),0)</f>
        <v>0</v>
      </c>
      <c r="CO79" s="65">
        <f t="shared" si="25"/>
        <v>0</v>
      </c>
      <c r="CP79" s="65">
        <f t="shared" si="25"/>
        <v>0</v>
      </c>
      <c r="CQ79" s="65">
        <f t="shared" si="25"/>
        <v>0</v>
      </c>
      <c r="CR79" s="65">
        <f t="shared" si="25"/>
        <v>0</v>
      </c>
      <c r="CS79" s="65">
        <f t="shared" si="25"/>
        <v>0</v>
      </c>
      <c r="CT79" s="65">
        <f t="shared" si="25"/>
        <v>0</v>
      </c>
      <c r="CU79" s="65">
        <f t="shared" si="25"/>
        <v>0</v>
      </c>
      <c r="CV79" s="65">
        <f t="shared" si="25"/>
        <v>0</v>
      </c>
    </row>
    <row r="80" spans="1:112" s="51" customFormat="1" ht="45" x14ac:dyDescent="0.25">
      <c r="A80" s="87"/>
      <c r="B80" s="87"/>
      <c r="C80" s="53" t="s">
        <v>327</v>
      </c>
      <c r="D80" s="54" t="str">
        <f t="shared" ref="D80:I80" si="26">IF(D73&gt;0,D78&amp;D79,"")</f>
        <v xml:space="preserve">40%_NB Home Flat. + 
</v>
      </c>
      <c r="E80" s="54" t="str">
        <f t="shared" si="26"/>
        <v xml:space="preserve">25%_NB School E.Y. + 
</v>
      </c>
      <c r="F80" s="54" t="str">
        <f t="shared" si="26"/>
        <v>35%_NB School Pri.</v>
      </c>
      <c r="G80" s="54" t="str">
        <f t="shared" si="26"/>
        <v/>
      </c>
      <c r="H80" s="54" t="str">
        <f t="shared" si="26"/>
        <v/>
      </c>
      <c r="I80" s="54" t="str">
        <f t="shared" si="26"/>
        <v/>
      </c>
      <c r="Z80" s="63"/>
    </row>
    <row r="81" spans="1:27" s="51" customFormat="1" x14ac:dyDescent="0.25">
      <c r="A81" s="87"/>
      <c r="B81" s="87"/>
      <c r="C81" s="53" t="s">
        <v>326</v>
      </c>
      <c r="D81" s="52">
        <f t="shared" ref="D81:I81" si="27">IF(D73&gt;0,D73*D74,0)</f>
        <v>15.600000000000001</v>
      </c>
      <c r="E81" s="52">
        <f t="shared" si="27"/>
        <v>12</v>
      </c>
      <c r="F81" s="52">
        <f t="shared" si="27"/>
        <v>15.049999999999999</v>
      </c>
      <c r="G81" s="52">
        <f t="shared" si="27"/>
        <v>0</v>
      </c>
      <c r="H81" s="52">
        <f t="shared" si="27"/>
        <v>0</v>
      </c>
      <c r="I81" s="52">
        <f t="shared" si="27"/>
        <v>0</v>
      </c>
    </row>
    <row r="82" spans="1:27" s="51" customFormat="1" ht="75" x14ac:dyDescent="0.25">
      <c r="AA82" s="51" t="s">
        <v>369</v>
      </c>
    </row>
    <row r="83" spans="1:27" ht="30" x14ac:dyDescent="0.25">
      <c r="A83" s="86" t="s">
        <v>368</v>
      </c>
      <c r="B83" s="86"/>
      <c r="C83" s="56"/>
      <c r="D83" s="56" t="s">
        <v>350</v>
      </c>
      <c r="E83" s="56" t="s">
        <v>349</v>
      </c>
      <c r="F83" s="56" t="s">
        <v>348</v>
      </c>
      <c r="G83" s="56" t="s">
        <v>347</v>
      </c>
      <c r="H83" s="56" t="s">
        <v>346</v>
      </c>
      <c r="I83" s="56" t="s">
        <v>345</v>
      </c>
      <c r="J83" s="63"/>
      <c r="K83" s="56"/>
      <c r="L83" s="56" t="s">
        <v>344</v>
      </c>
      <c r="M83" s="56" t="s">
        <v>343</v>
      </c>
      <c r="AA83" s="50" t="s">
        <v>367</v>
      </c>
    </row>
    <row r="84" spans="1:27" ht="60" x14ac:dyDescent="0.25">
      <c r="A84" s="86"/>
      <c r="B84" s="86"/>
      <c r="C84" s="56" t="s">
        <v>342</v>
      </c>
      <c r="D84" s="62">
        <v>2027</v>
      </c>
      <c r="E84" s="57">
        <f>D84</f>
        <v>2027</v>
      </c>
      <c r="F84" s="57">
        <f>E84</f>
        <v>2027</v>
      </c>
      <c r="G84" s="57">
        <f>F84</f>
        <v>2027</v>
      </c>
      <c r="H84" s="57">
        <f>G84</f>
        <v>2027</v>
      </c>
      <c r="I84" s="57">
        <f>H84</f>
        <v>2027</v>
      </c>
      <c r="K84" s="56" t="s">
        <v>342</v>
      </c>
      <c r="L84" s="57">
        <f>I84</f>
        <v>2027</v>
      </c>
      <c r="M84" s="57"/>
      <c r="AA84" s="50" t="s">
        <v>366</v>
      </c>
    </row>
    <row r="85" spans="1:27" ht="45" x14ac:dyDescent="0.25">
      <c r="A85" s="86"/>
      <c r="B85" s="86"/>
      <c r="C85" s="56" t="s">
        <v>341</v>
      </c>
      <c r="D85" s="61" t="s">
        <v>365</v>
      </c>
      <c r="E85" s="61" t="s">
        <v>364</v>
      </c>
      <c r="F85" s="61" t="s">
        <v>363</v>
      </c>
      <c r="G85" s="61"/>
      <c r="H85" s="61"/>
      <c r="I85" s="61"/>
      <c r="K85" s="56" t="s">
        <v>337</v>
      </c>
      <c r="L85" s="55" t="str">
        <f>_xlfn.CONCAT(D93:I93)</f>
        <v>40%_NB Sport &amp;L Dry + 
25%_NB Sport &amp;L Wet + 
35%_NB Sport &amp;L Fit.</v>
      </c>
      <c r="M85" s="57"/>
      <c r="AA85" s="64" t="s">
        <v>362</v>
      </c>
    </row>
    <row r="86" spans="1:27" ht="30" x14ac:dyDescent="0.25">
      <c r="A86" s="86"/>
      <c r="B86" s="86"/>
      <c r="C86" s="56" t="s">
        <v>336</v>
      </c>
      <c r="D86" s="60">
        <v>0.4</v>
      </c>
      <c r="E86" s="60">
        <v>0.25</v>
      </c>
      <c r="F86" s="60">
        <v>0.35</v>
      </c>
      <c r="G86" s="60"/>
      <c r="H86" s="60"/>
      <c r="I86" s="60"/>
      <c r="K86" s="56" t="s">
        <v>335</v>
      </c>
      <c r="L86" s="59">
        <f>SUM(D86:I86)</f>
        <v>1</v>
      </c>
      <c r="M86" s="55" t="str">
        <f>IF(L86=1,"Total Area 100%. OK","Floor Area ≠ 100%. Error")</f>
        <v>Total Area 100%. OK</v>
      </c>
      <c r="AA86" s="64" t="s">
        <v>361</v>
      </c>
    </row>
    <row r="87" spans="1:27" x14ac:dyDescent="0.25">
      <c r="A87" s="86"/>
      <c r="B87" s="86"/>
      <c r="C87" s="56" t="s">
        <v>334</v>
      </c>
      <c r="D87" s="57">
        <f t="shared" ref="D87:I87" si="28">IF(D86&gt;0,INDEX($AB$57:$CV$73,MATCH(D84,$Z$57:$Z$73,0), MATCH(D85,$AB$54:$CW$54,0)),"")</f>
        <v>78</v>
      </c>
      <c r="E87" s="57">
        <f t="shared" si="28"/>
        <v>337</v>
      </c>
      <c r="F87" s="57">
        <f t="shared" si="28"/>
        <v>145</v>
      </c>
      <c r="G87" s="57" t="str">
        <f t="shared" si="28"/>
        <v/>
      </c>
      <c r="H87" s="57" t="str">
        <f t="shared" si="28"/>
        <v/>
      </c>
      <c r="I87" s="57" t="str">
        <f t="shared" si="28"/>
        <v/>
      </c>
      <c r="K87" s="56" t="s">
        <v>333</v>
      </c>
      <c r="L87" s="58">
        <f>SUM(D94:I94)</f>
        <v>166.2</v>
      </c>
      <c r="M87" s="57"/>
      <c r="AA87" s="64"/>
    </row>
    <row r="88" spans="1:27" x14ac:dyDescent="0.25">
      <c r="A88" s="86"/>
      <c r="B88" s="86"/>
      <c r="C88" s="56" t="s">
        <v>332</v>
      </c>
      <c r="D88" s="55" t="str">
        <f t="shared" ref="D88:I88" si="29">IF(D86&gt;0,HLOOKUP(D85,$AA$54:$CV$56,3,0),$D88)</f>
        <v>kWh/m²GIA/yr</v>
      </c>
      <c r="E88" s="55" t="str">
        <f t="shared" si="29"/>
        <v>kWh/m²GIA/yr</v>
      </c>
      <c r="F88" s="55" t="str">
        <f t="shared" si="29"/>
        <v>kWh/m²GIA/yr</v>
      </c>
      <c r="G88" s="55" t="str">
        <f t="shared" si="29"/>
        <v>kWh/m²GIA/yr</v>
      </c>
      <c r="H88" s="55" t="str">
        <f t="shared" si="29"/>
        <v>kWh/m²GIA/yr</v>
      </c>
      <c r="I88" s="55" t="str">
        <f t="shared" si="29"/>
        <v>kWh/m²GIA/yr</v>
      </c>
      <c r="J88" s="51"/>
      <c r="K88" s="56" t="s">
        <v>332</v>
      </c>
      <c r="L88" s="55" t="str">
        <f>IF(M88="All units match",D88,"Units mismatch")</f>
        <v>kWh/m²GIA/yr</v>
      </c>
      <c r="M88" s="55" t="str" cm="1">
        <f t="array" ref="M88">IF(AND(EXACT(D88,D88:I88)),"All units match","Units mismatch")</f>
        <v>All units match</v>
      </c>
      <c r="AA88" s="64"/>
    </row>
    <row r="89" spans="1:27" x14ac:dyDescent="0.25">
      <c r="AA89" s="64"/>
    </row>
    <row r="90" spans="1:27" x14ac:dyDescent="0.25">
      <c r="A90" s="87" t="s">
        <v>360</v>
      </c>
      <c r="B90" s="87"/>
      <c r="C90" s="53" t="s">
        <v>330</v>
      </c>
      <c r="D90" s="54" t="str">
        <f t="shared" ref="D90:I90" si="30">HLOOKUP(D85,$AA$54:$CV$56,2,0)</f>
        <v>NB Sport &amp;L Dry</v>
      </c>
      <c r="E90" s="54" t="str">
        <f t="shared" si="30"/>
        <v>NB Sport &amp;L Wet</v>
      </c>
      <c r="F90" s="54" t="str">
        <f t="shared" si="30"/>
        <v>NB Sport &amp;L Fit.</v>
      </c>
      <c r="G90" s="54" t="e">
        <f t="shared" si="30"/>
        <v>#N/A</v>
      </c>
      <c r="H90" s="54" t="e">
        <f t="shared" si="30"/>
        <v>#N/A</v>
      </c>
      <c r="I90" s="54" t="e">
        <f t="shared" si="30"/>
        <v>#N/A</v>
      </c>
      <c r="J90" s="51"/>
      <c r="K90" s="51"/>
      <c r="L90" s="51"/>
      <c r="M90" s="51"/>
      <c r="AA90" s="64"/>
    </row>
    <row r="91" spans="1:27" ht="30" x14ac:dyDescent="0.25">
      <c r="A91" s="87"/>
      <c r="B91" s="87"/>
      <c r="C91" s="53" t="s">
        <v>329</v>
      </c>
      <c r="D91" s="54" t="str">
        <f t="shared" ref="D91:I91" si="31">D86*100&amp;"%_"&amp;D90</f>
        <v>40%_NB Sport &amp;L Dry</v>
      </c>
      <c r="E91" s="54" t="str">
        <f t="shared" si="31"/>
        <v>25%_NB Sport &amp;L Wet</v>
      </c>
      <c r="F91" s="54" t="str">
        <f t="shared" si="31"/>
        <v>35%_NB Sport &amp;L Fit.</v>
      </c>
      <c r="G91" s="54" t="e">
        <f t="shared" si="31"/>
        <v>#N/A</v>
      </c>
      <c r="H91" s="54" t="e">
        <f t="shared" si="31"/>
        <v>#N/A</v>
      </c>
      <c r="I91" s="54" t="e">
        <f t="shared" si="31"/>
        <v>#N/A</v>
      </c>
      <c r="J91" s="51"/>
      <c r="K91" s="51"/>
      <c r="L91" s="51"/>
      <c r="M91" s="51"/>
      <c r="AA91" s="64"/>
    </row>
    <row r="92" spans="1:27" ht="30" x14ac:dyDescent="0.25">
      <c r="A92" s="87"/>
      <c r="B92" s="87"/>
      <c r="C92" s="53" t="s">
        <v>328</v>
      </c>
      <c r="D92" s="54" t="str">
        <f>IF(SUM(E86:$I86)&gt;0," + "&amp;CHAR(10),"")</f>
        <v xml:space="preserve"> + 
</v>
      </c>
      <c r="E92" s="54" t="str">
        <f>IF(SUM(F86:$I86)&gt;0," + "&amp;CHAR(10),"")</f>
        <v xml:space="preserve"> + 
</v>
      </c>
      <c r="F92" s="54" t="str">
        <f>IF(SUM(G86:$I86)&gt;0," + "&amp;CHAR(10),"")</f>
        <v/>
      </c>
      <c r="G92" s="54" t="str">
        <f>IF(SUM(H86:$I86)&gt;0," + "&amp;CHAR(10),"")</f>
        <v/>
      </c>
      <c r="H92" s="54" t="str">
        <f>IF(SUM(I86:$I86)&gt;0," + "&amp;CHAR(10),"")</f>
        <v/>
      </c>
      <c r="I92" s="54" t="str">
        <f>IF(SUM($I86:J86)&gt;0," + "&amp;CHAR(10),"")</f>
        <v/>
      </c>
      <c r="J92" s="51"/>
      <c r="K92" s="51"/>
      <c r="L92" s="51"/>
      <c r="M92" s="51"/>
      <c r="AA92" s="64"/>
    </row>
    <row r="93" spans="1:27" ht="45" x14ac:dyDescent="0.25">
      <c r="A93" s="87"/>
      <c r="B93" s="87"/>
      <c r="C93" s="53" t="s">
        <v>327</v>
      </c>
      <c r="D93" s="54" t="str">
        <f t="shared" ref="D93:I93" si="32">IF(D86&gt;0,D91&amp;D92,"")</f>
        <v xml:space="preserve">40%_NB Sport &amp;L Dry + 
</v>
      </c>
      <c r="E93" s="54" t="str">
        <f t="shared" si="32"/>
        <v xml:space="preserve">25%_NB Sport &amp;L Wet + 
</v>
      </c>
      <c r="F93" s="54" t="str">
        <f t="shared" si="32"/>
        <v>35%_NB Sport &amp;L Fit.</v>
      </c>
      <c r="G93" s="54" t="str">
        <f t="shared" si="32"/>
        <v/>
      </c>
      <c r="H93" s="54" t="str">
        <f t="shared" si="32"/>
        <v/>
      </c>
      <c r="I93" s="54" t="str">
        <f t="shared" si="32"/>
        <v/>
      </c>
      <c r="J93" s="51"/>
      <c r="K93" s="51"/>
      <c r="L93" s="51"/>
      <c r="M93" s="51"/>
      <c r="AA93" s="64"/>
    </row>
    <row r="94" spans="1:27" x14ac:dyDescent="0.25">
      <c r="A94" s="87"/>
      <c r="B94" s="87"/>
      <c r="C94" s="53" t="s">
        <v>326</v>
      </c>
      <c r="D94" s="52">
        <f t="shared" ref="D94:I94" si="33">IF(D86&gt;0,D86*D87,0)</f>
        <v>31.200000000000003</v>
      </c>
      <c r="E94" s="52">
        <f t="shared" si="33"/>
        <v>84.25</v>
      </c>
      <c r="F94" s="52">
        <f t="shared" si="33"/>
        <v>50.75</v>
      </c>
      <c r="G94" s="52">
        <f t="shared" si="33"/>
        <v>0</v>
      </c>
      <c r="H94" s="52">
        <f t="shared" si="33"/>
        <v>0</v>
      </c>
      <c r="I94" s="52">
        <f t="shared" si="33"/>
        <v>0</v>
      </c>
      <c r="J94" s="51"/>
      <c r="K94" s="51"/>
      <c r="L94" s="51"/>
      <c r="M94" s="51"/>
      <c r="AA94" s="64"/>
    </row>
    <row r="95" spans="1:27" x14ac:dyDescent="0.25">
      <c r="AA95" s="64"/>
    </row>
    <row r="96" spans="1:27" ht="30" x14ac:dyDescent="0.25">
      <c r="A96" s="86" t="s">
        <v>359</v>
      </c>
      <c r="B96" s="86"/>
      <c r="C96" s="56"/>
      <c r="D96" s="56" t="s">
        <v>350</v>
      </c>
      <c r="E96" s="56" t="s">
        <v>349</v>
      </c>
      <c r="F96" s="56" t="s">
        <v>348</v>
      </c>
      <c r="G96" s="56" t="s">
        <v>347</v>
      </c>
      <c r="H96" s="56" t="s">
        <v>346</v>
      </c>
      <c r="I96" s="56" t="s">
        <v>345</v>
      </c>
      <c r="J96" s="63"/>
      <c r="K96" s="56"/>
      <c r="L96" s="56" t="s">
        <v>344</v>
      </c>
      <c r="M96" s="56" t="s">
        <v>343</v>
      </c>
      <c r="AA96" s="64"/>
    </row>
    <row r="97" spans="1:65" ht="60" x14ac:dyDescent="0.25">
      <c r="A97" s="86"/>
      <c r="B97" s="86"/>
      <c r="C97" s="56" t="s">
        <v>342</v>
      </c>
      <c r="D97" s="62">
        <v>2028</v>
      </c>
      <c r="E97" s="57">
        <f>D97</f>
        <v>2028</v>
      </c>
      <c r="F97" s="57">
        <f>E97</f>
        <v>2028</v>
      </c>
      <c r="G97" s="57">
        <f>F97</f>
        <v>2028</v>
      </c>
      <c r="H97" s="57">
        <f>G97</f>
        <v>2028</v>
      </c>
      <c r="I97" s="57">
        <f>H97</f>
        <v>2028</v>
      </c>
      <c r="K97" s="56" t="s">
        <v>342</v>
      </c>
      <c r="L97" s="57">
        <f>I97</f>
        <v>2028</v>
      </c>
      <c r="M97" s="57"/>
      <c r="AA97" s="64"/>
    </row>
    <row r="98" spans="1:65" s="51" customFormat="1" ht="45" x14ac:dyDescent="0.25">
      <c r="A98" s="86"/>
      <c r="B98" s="86"/>
      <c r="C98" s="56" t="s">
        <v>341</v>
      </c>
      <c r="D98" s="61" t="s">
        <v>358</v>
      </c>
      <c r="E98" s="61" t="s">
        <v>357</v>
      </c>
      <c r="F98" s="61"/>
      <c r="G98" s="61"/>
      <c r="H98" s="61"/>
      <c r="I98" s="61"/>
      <c r="K98" s="56" t="s">
        <v>337</v>
      </c>
      <c r="L98" s="55" t="str">
        <f>_xlfn.CONCAT(D106:I106)</f>
        <v>70%_RFOG Off. Gen. (NIA) + 
30%_NB Off. Gen. (NIA)</v>
      </c>
      <c r="M98" s="55"/>
      <c r="AA98" s="63"/>
    </row>
    <row r="99" spans="1:65" ht="30" x14ac:dyDescent="0.25">
      <c r="A99" s="86"/>
      <c r="B99" s="86"/>
      <c r="C99" s="56" t="s">
        <v>336</v>
      </c>
      <c r="D99" s="60">
        <v>0.7</v>
      </c>
      <c r="E99" s="60">
        <v>0.3</v>
      </c>
      <c r="F99" s="60"/>
      <c r="G99" s="60"/>
      <c r="H99" s="60"/>
      <c r="I99" s="60"/>
      <c r="K99" s="56" t="s">
        <v>335</v>
      </c>
      <c r="L99" s="59">
        <f>SUM(D99:I99)</f>
        <v>1</v>
      </c>
      <c r="M99" s="55" t="str">
        <f>IF(L99=1,"Total Area 100%. OK","Floor Area ≠ 100%. Error")</f>
        <v>Total Area 100%. OK</v>
      </c>
      <c r="AA99" s="64"/>
    </row>
    <row r="100" spans="1:65" x14ac:dyDescent="0.25">
      <c r="A100" s="86"/>
      <c r="B100" s="86"/>
      <c r="C100" s="56" t="s">
        <v>334</v>
      </c>
      <c r="D100" s="57">
        <f t="shared" ref="D100:I100" si="34">IF(D99&gt;0,INDEX($AB$57:$CV$73,MATCH(D97,$Z$57:$Z$73,0), MATCH(D98,$AB$54:$CW$54,0)),"")</f>
        <v>114</v>
      </c>
      <c r="E100" s="57">
        <f t="shared" si="34"/>
        <v>97</v>
      </c>
      <c r="F100" s="57" t="str">
        <f t="shared" si="34"/>
        <v/>
      </c>
      <c r="G100" s="57" t="str">
        <f t="shared" si="34"/>
        <v/>
      </c>
      <c r="H100" s="57" t="str">
        <f t="shared" si="34"/>
        <v/>
      </c>
      <c r="I100" s="57" t="str">
        <f t="shared" si="34"/>
        <v/>
      </c>
      <c r="K100" s="56" t="s">
        <v>333</v>
      </c>
      <c r="L100" s="58">
        <f>SUM(D107:I107)</f>
        <v>108.89999999999999</v>
      </c>
      <c r="M100" s="57"/>
      <c r="AA100" s="64"/>
    </row>
    <row r="101" spans="1:65" x14ac:dyDescent="0.25">
      <c r="A101" s="86"/>
      <c r="B101" s="86"/>
      <c r="C101" s="56" t="s">
        <v>332</v>
      </c>
      <c r="D101" s="55" t="str">
        <f t="shared" ref="D101:I101" si="35">IF(D99&gt;0,HLOOKUP(D98,$AA$54:$CV$56,3,0),$D101)</f>
        <v>kWh/m²NIA/yr</v>
      </c>
      <c r="E101" s="55" t="str">
        <f t="shared" si="35"/>
        <v>kWh/m²NIA/yr</v>
      </c>
      <c r="F101" s="55" t="str">
        <f t="shared" si="35"/>
        <v>kWh/m²NIA/yr</v>
      </c>
      <c r="G101" s="55" t="str">
        <f t="shared" si="35"/>
        <v>kWh/m²NIA/yr</v>
      </c>
      <c r="H101" s="55" t="str">
        <f t="shared" si="35"/>
        <v>kWh/m²NIA/yr</v>
      </c>
      <c r="I101" s="55" t="str">
        <f t="shared" si="35"/>
        <v>kWh/m²NIA/yr</v>
      </c>
      <c r="J101" s="51"/>
      <c r="K101" s="56" t="s">
        <v>332</v>
      </c>
      <c r="L101" s="55" t="str">
        <f>IF(M101="All units match",D101,"Units mismatch")</f>
        <v>kWh/m²NIA/yr</v>
      </c>
      <c r="M101" s="55" t="str" cm="1">
        <f t="array" ref="M101">IF(AND(EXACT(D101,D101:I101)),"All units match","Units mismatch")</f>
        <v>All units match</v>
      </c>
      <c r="AA101" s="64"/>
    </row>
    <row r="102" spans="1:65" x14ac:dyDescent="0.25">
      <c r="AA102" s="64"/>
    </row>
    <row r="103" spans="1:65" ht="30" x14ac:dyDescent="0.25">
      <c r="A103" s="87" t="s">
        <v>356</v>
      </c>
      <c r="B103" s="87"/>
      <c r="C103" s="53" t="s">
        <v>330</v>
      </c>
      <c r="D103" s="54" t="str">
        <f t="shared" ref="D103:I103" si="36">HLOOKUP(D98,$AA$54:$CV$56,2,0)</f>
        <v>RFOG Off. Gen. (NIA)</v>
      </c>
      <c r="E103" s="54" t="str">
        <f t="shared" si="36"/>
        <v>NB Off. Gen. (NIA)</v>
      </c>
      <c r="F103" s="54" t="e">
        <f t="shared" si="36"/>
        <v>#N/A</v>
      </c>
      <c r="G103" s="54" t="e">
        <f t="shared" si="36"/>
        <v>#N/A</v>
      </c>
      <c r="H103" s="54" t="e">
        <f t="shared" si="36"/>
        <v>#N/A</v>
      </c>
      <c r="I103" s="54" t="e">
        <f t="shared" si="36"/>
        <v>#N/A</v>
      </c>
      <c r="J103" s="51"/>
      <c r="K103" s="51"/>
      <c r="L103" s="51"/>
      <c r="M103" s="51"/>
      <c r="AA103" s="64"/>
    </row>
    <row r="104" spans="1:65" ht="30" x14ac:dyDescent="0.25">
      <c r="A104" s="87"/>
      <c r="B104" s="87"/>
      <c r="C104" s="53" t="s">
        <v>329</v>
      </c>
      <c r="D104" s="54" t="str">
        <f t="shared" ref="D104:I104" si="37">D99*100&amp;"%_"&amp;D103</f>
        <v>70%_RFOG Off. Gen. (NIA)</v>
      </c>
      <c r="E104" s="54" t="str">
        <f t="shared" si="37"/>
        <v>30%_NB Off. Gen. (NIA)</v>
      </c>
      <c r="F104" s="54" t="e">
        <f t="shared" si="37"/>
        <v>#N/A</v>
      </c>
      <c r="G104" s="54" t="e">
        <f t="shared" si="37"/>
        <v>#N/A</v>
      </c>
      <c r="H104" s="54" t="e">
        <f t="shared" si="37"/>
        <v>#N/A</v>
      </c>
      <c r="I104" s="54" t="e">
        <f t="shared" si="37"/>
        <v>#N/A</v>
      </c>
      <c r="J104" s="51"/>
      <c r="K104" s="51"/>
      <c r="L104" s="51"/>
      <c r="M104" s="51"/>
    </row>
    <row r="105" spans="1:65" ht="30" x14ac:dyDescent="0.25">
      <c r="A105" s="87"/>
      <c r="B105" s="87"/>
      <c r="C105" s="53" t="s">
        <v>328</v>
      </c>
      <c r="D105" s="54" t="str">
        <f>IF(SUM(E99:$I99)&gt;0," + "&amp;CHAR(10),"")</f>
        <v xml:space="preserve"> + 
</v>
      </c>
      <c r="E105" s="54" t="str">
        <f>IF(SUM(F99:$I99)&gt;0," + "&amp;CHAR(10),"")</f>
        <v/>
      </c>
      <c r="F105" s="54" t="str">
        <f>IF(SUM(G99:$I99)&gt;0," + "&amp;CHAR(10),"")</f>
        <v/>
      </c>
      <c r="G105" s="54" t="str">
        <f>IF(SUM(H99:$I99)&gt;0," + "&amp;CHAR(10),"")</f>
        <v/>
      </c>
      <c r="H105" s="54" t="str">
        <f>IF(SUM(I99:$I99)&gt;0," + "&amp;CHAR(10),"")</f>
        <v/>
      </c>
      <c r="I105" s="54" t="str">
        <f>IF(SUM($I99:J99)&gt;0," + "&amp;CHAR(10),"")</f>
        <v/>
      </c>
      <c r="J105" s="51"/>
      <c r="K105" s="51"/>
      <c r="L105" s="51"/>
      <c r="M105" s="51"/>
    </row>
    <row r="106" spans="1:65" ht="45" x14ac:dyDescent="0.25">
      <c r="A106" s="87"/>
      <c r="B106" s="87"/>
      <c r="C106" s="53" t="s">
        <v>327</v>
      </c>
      <c r="D106" s="54" t="str">
        <f t="shared" ref="D106:I106" si="38">IF(D99&gt;0,D104&amp;D105,"")</f>
        <v xml:space="preserve">70%_RFOG Off. Gen. (NIA) + 
</v>
      </c>
      <c r="E106" s="54" t="str">
        <f t="shared" si="38"/>
        <v>30%_NB Off. Gen. (NIA)</v>
      </c>
      <c r="F106" s="54" t="str">
        <f t="shared" si="38"/>
        <v/>
      </c>
      <c r="G106" s="54" t="str">
        <f t="shared" si="38"/>
        <v/>
      </c>
      <c r="H106" s="54" t="str">
        <f t="shared" si="38"/>
        <v/>
      </c>
      <c r="I106" s="54" t="str">
        <f t="shared" si="38"/>
        <v/>
      </c>
      <c r="J106" s="51"/>
      <c r="K106" s="51"/>
      <c r="L106" s="51"/>
      <c r="M106" s="51"/>
    </row>
    <row r="107" spans="1:65" x14ac:dyDescent="0.25">
      <c r="A107" s="87"/>
      <c r="B107" s="87"/>
      <c r="C107" s="53" t="s">
        <v>326</v>
      </c>
      <c r="D107" s="52">
        <f t="shared" ref="D107:I107" si="39">IF(D99&gt;0,D99*D100,0)</f>
        <v>79.8</v>
      </c>
      <c r="E107" s="52">
        <f t="shared" si="39"/>
        <v>29.099999999999998</v>
      </c>
      <c r="F107" s="52">
        <f t="shared" si="39"/>
        <v>0</v>
      </c>
      <c r="G107" s="52">
        <f t="shared" si="39"/>
        <v>0</v>
      </c>
      <c r="H107" s="52">
        <f t="shared" si="39"/>
        <v>0</v>
      </c>
      <c r="I107" s="52">
        <f t="shared" si="39"/>
        <v>0</v>
      </c>
      <c r="J107" s="51"/>
      <c r="K107" s="51"/>
      <c r="L107" s="51"/>
      <c r="M107" s="51"/>
    </row>
    <row r="109" spans="1:65" ht="66" customHeight="1" x14ac:dyDescent="0.25">
      <c r="A109" s="86" t="s">
        <v>355</v>
      </c>
      <c r="B109" s="86"/>
      <c r="C109" s="56"/>
      <c r="D109" s="56" t="s">
        <v>350</v>
      </c>
      <c r="E109" s="56" t="s">
        <v>349</v>
      </c>
      <c r="F109" s="56" t="s">
        <v>348</v>
      </c>
      <c r="G109" s="56" t="s">
        <v>347</v>
      </c>
      <c r="H109" s="56" t="s">
        <v>346</v>
      </c>
      <c r="I109" s="56" t="s">
        <v>345</v>
      </c>
      <c r="J109" s="63"/>
      <c r="K109" s="56"/>
      <c r="L109" s="56" t="s">
        <v>344</v>
      </c>
      <c r="M109" s="56" t="s">
        <v>343</v>
      </c>
      <c r="AA109" s="63"/>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c r="BB109" s="51"/>
      <c r="BC109" s="51"/>
      <c r="BD109" s="51"/>
      <c r="BE109" s="51"/>
      <c r="BF109" s="51"/>
      <c r="BG109" s="51"/>
      <c r="BH109" s="51"/>
      <c r="BI109" s="51"/>
      <c r="BJ109" s="51"/>
      <c r="BK109" s="51"/>
      <c r="BL109" s="51"/>
      <c r="BM109" s="51"/>
    </row>
    <row r="110" spans="1:65" ht="60" x14ac:dyDescent="0.25">
      <c r="A110" s="86"/>
      <c r="B110" s="86"/>
      <c r="C110" s="56" t="s">
        <v>342</v>
      </c>
      <c r="D110" s="62">
        <v>2028</v>
      </c>
      <c r="E110" s="57">
        <f>D110</f>
        <v>2028</v>
      </c>
      <c r="F110" s="57">
        <f>E110</f>
        <v>2028</v>
      </c>
      <c r="G110" s="57">
        <f>F110</f>
        <v>2028</v>
      </c>
      <c r="H110" s="57">
        <f>G110</f>
        <v>2028</v>
      </c>
      <c r="I110" s="57">
        <f>H110</f>
        <v>2028</v>
      </c>
      <c r="K110" s="56" t="s">
        <v>342</v>
      </c>
      <c r="L110" s="57">
        <f>I110</f>
        <v>2028</v>
      </c>
      <c r="M110" s="57"/>
    </row>
    <row r="111" spans="1:65" s="51" customFormat="1" ht="60" x14ac:dyDescent="0.25">
      <c r="A111" s="86"/>
      <c r="B111" s="86"/>
      <c r="C111" s="56" t="s">
        <v>341</v>
      </c>
      <c r="D111" s="61" t="s">
        <v>354</v>
      </c>
      <c r="E111" s="61" t="s">
        <v>353</v>
      </c>
      <c r="F111" s="61" t="s">
        <v>338</v>
      </c>
      <c r="G111" s="61"/>
      <c r="H111" s="61"/>
      <c r="I111" s="61"/>
      <c r="K111" s="56" t="s">
        <v>337</v>
      </c>
      <c r="L111" s="55" t="str">
        <f>_xlfn.CONCAT(D119:I119)</f>
        <v>70%_RFOG Off. Gen. (GIA) + 
28%_NB Off. Gen. (GIA) + 
2%_NB Retail FB inc. Cater.</v>
      </c>
      <c r="M111" s="55"/>
    </row>
    <row r="112" spans="1:65" ht="30" x14ac:dyDescent="0.25">
      <c r="A112" s="86"/>
      <c r="B112" s="86"/>
      <c r="C112" s="56" t="s">
        <v>336</v>
      </c>
      <c r="D112" s="60">
        <v>0.7</v>
      </c>
      <c r="E112" s="60">
        <v>0.28000000000000003</v>
      </c>
      <c r="F112" s="60">
        <v>0.02</v>
      </c>
      <c r="G112" s="60"/>
      <c r="H112" s="60"/>
      <c r="I112" s="60"/>
      <c r="K112" s="56" t="s">
        <v>335</v>
      </c>
      <c r="L112" s="59">
        <f>SUM(D112:I112)</f>
        <v>1</v>
      </c>
      <c r="M112" s="55" t="str">
        <f>IF(L112=1,"Total Area 100%. OK","Floor Area ≠ 100%. Error")</f>
        <v>Total Area 100%. OK</v>
      </c>
    </row>
    <row r="113" spans="1:13" x14ac:dyDescent="0.25">
      <c r="A113" s="86"/>
      <c r="B113" s="86"/>
      <c r="C113" s="56" t="s">
        <v>334</v>
      </c>
      <c r="D113" s="57">
        <f t="shared" ref="D113:I113" si="40">IF(D112&gt;0,INDEX($AB$57:$CV$73,MATCH(D110,$Z$57:$Z$73,0), MATCH(D111,$AB$54:$CW$54,0)),"")</f>
        <v>91</v>
      </c>
      <c r="E113" s="57">
        <f t="shared" si="40"/>
        <v>77</v>
      </c>
      <c r="F113" s="57">
        <f t="shared" si="40"/>
        <v>348</v>
      </c>
      <c r="G113" s="57" t="str">
        <f t="shared" si="40"/>
        <v/>
      </c>
      <c r="H113" s="57" t="str">
        <f t="shared" si="40"/>
        <v/>
      </c>
      <c r="I113" s="57" t="str">
        <f t="shared" si="40"/>
        <v/>
      </c>
      <c r="K113" s="56" t="s">
        <v>333</v>
      </c>
      <c r="L113" s="58">
        <f>SUM(D120:I120)</f>
        <v>92.219999999999985</v>
      </c>
      <c r="M113" s="57"/>
    </row>
    <row r="114" spans="1:13" x14ac:dyDescent="0.25">
      <c r="A114" s="86"/>
      <c r="B114" s="86"/>
      <c r="C114" s="56" t="s">
        <v>332</v>
      </c>
      <c r="D114" s="55" t="str">
        <f t="shared" ref="D114:I114" si="41">IF(D112&gt;0,HLOOKUP(D111,$AA$54:$CV$56,3,0),$D114)</f>
        <v>kWh/m²GIA/yr</v>
      </c>
      <c r="E114" s="55" t="str">
        <f t="shared" si="41"/>
        <v>kWh/m²GIA/yr</v>
      </c>
      <c r="F114" s="55" t="str">
        <f t="shared" si="41"/>
        <v>kWh/m²GIA/yr</v>
      </c>
      <c r="G114" s="55" t="str">
        <f t="shared" si="41"/>
        <v>kWh/m²GIA/yr</v>
      </c>
      <c r="H114" s="55" t="str">
        <f t="shared" si="41"/>
        <v>kWh/m²GIA/yr</v>
      </c>
      <c r="I114" s="55" t="str">
        <f t="shared" si="41"/>
        <v>kWh/m²GIA/yr</v>
      </c>
      <c r="J114" s="51"/>
      <c r="K114" s="56" t="s">
        <v>332</v>
      </c>
      <c r="L114" s="55" t="str">
        <f>IF(M114="All units match",D114,"Units mismatch")</f>
        <v>kWh/m²GIA/yr</v>
      </c>
      <c r="M114" s="55" t="str" cm="1">
        <f t="array" ref="M114">IF(AND(EXACT(D114,D114:I114)),"All units match","Units mismatch")</f>
        <v>All units match</v>
      </c>
    </row>
    <row r="116" spans="1:13" ht="30" x14ac:dyDescent="0.25">
      <c r="A116" s="87" t="s">
        <v>352</v>
      </c>
      <c r="B116" s="87"/>
      <c r="C116" s="53" t="s">
        <v>330</v>
      </c>
      <c r="D116" s="54" t="str">
        <f t="shared" ref="D116:I116" si="42">HLOOKUP(D111,$AA$54:$CV$56,2,0)</f>
        <v>RFOG Off. Gen. (GIA)</v>
      </c>
      <c r="E116" s="54" t="str">
        <f t="shared" si="42"/>
        <v>NB Off. Gen. (GIA)</v>
      </c>
      <c r="F116" s="54" t="str">
        <f t="shared" si="42"/>
        <v>NB Retail FB inc. Cater.</v>
      </c>
      <c r="G116" s="54" t="e">
        <f t="shared" si="42"/>
        <v>#N/A</v>
      </c>
      <c r="H116" s="54" t="e">
        <f t="shared" si="42"/>
        <v>#N/A</v>
      </c>
      <c r="I116" s="54" t="e">
        <f t="shared" si="42"/>
        <v>#N/A</v>
      </c>
      <c r="J116" s="51"/>
      <c r="K116" s="51"/>
      <c r="L116" s="51"/>
      <c r="M116" s="51"/>
    </row>
    <row r="117" spans="1:13" ht="124.5" customHeight="1" x14ac:dyDescent="0.25">
      <c r="A117" s="87"/>
      <c r="B117" s="87"/>
      <c r="C117" s="53" t="s">
        <v>329</v>
      </c>
      <c r="D117" s="54" t="str">
        <f t="shared" ref="D117:I117" si="43">D112*100&amp;"%_"&amp;D116</f>
        <v>70%_RFOG Off. Gen. (GIA)</v>
      </c>
      <c r="E117" s="54" t="str">
        <f t="shared" si="43"/>
        <v>28%_NB Off. Gen. (GIA)</v>
      </c>
      <c r="F117" s="54" t="str">
        <f t="shared" si="43"/>
        <v>2%_NB Retail FB inc. Cater.</v>
      </c>
      <c r="G117" s="54" t="e">
        <f t="shared" si="43"/>
        <v>#N/A</v>
      </c>
      <c r="H117" s="54" t="e">
        <f t="shared" si="43"/>
        <v>#N/A</v>
      </c>
      <c r="I117" s="54" t="e">
        <f t="shared" si="43"/>
        <v>#N/A</v>
      </c>
      <c r="J117" s="51"/>
      <c r="K117" s="51"/>
      <c r="L117" s="51"/>
      <c r="M117" s="51"/>
    </row>
    <row r="118" spans="1:13" ht="102.75" customHeight="1" x14ac:dyDescent="0.25">
      <c r="A118" s="87"/>
      <c r="B118" s="87"/>
      <c r="C118" s="53" t="s">
        <v>328</v>
      </c>
      <c r="D118" s="54" t="str">
        <f>IF(SUM(E112:$I112)&gt;0," + "&amp;CHAR(10),"")</f>
        <v xml:space="preserve"> + 
</v>
      </c>
      <c r="E118" s="54" t="str">
        <f>IF(SUM(F112:$I112)&gt;0," + "&amp;CHAR(10),"")</f>
        <v xml:space="preserve"> + 
</v>
      </c>
      <c r="F118" s="54" t="str">
        <f>IF(SUM(G112:$I112)&gt;0," + "&amp;CHAR(10),"")</f>
        <v/>
      </c>
      <c r="G118" s="54" t="str">
        <f>IF(SUM(H112:$I112)&gt;0," + "&amp;CHAR(10),"")</f>
        <v/>
      </c>
      <c r="H118" s="54" t="str">
        <f>IF(SUM(I112:$I112)&gt;0," + "&amp;CHAR(10),"")</f>
        <v/>
      </c>
      <c r="I118" s="54" t="str">
        <f>IF(SUM($I112:J112)&gt;0," + "&amp;CHAR(10),"")</f>
        <v/>
      </c>
      <c r="J118" s="51"/>
      <c r="K118" s="51"/>
      <c r="L118" s="51"/>
      <c r="M118" s="51"/>
    </row>
    <row r="119" spans="1:13" ht="55.5" customHeight="1" x14ac:dyDescent="0.25">
      <c r="A119" s="87"/>
      <c r="B119" s="87"/>
      <c r="C119" s="53" t="s">
        <v>327</v>
      </c>
      <c r="D119" s="54" t="str">
        <f t="shared" ref="D119:I119" si="44">IF(D112&gt;0,D117&amp;D118,"")</f>
        <v xml:space="preserve">70%_RFOG Off. Gen. (GIA) + 
</v>
      </c>
      <c r="E119" s="54" t="str">
        <f t="shared" si="44"/>
        <v xml:space="preserve">28%_NB Off. Gen. (GIA) + 
</v>
      </c>
      <c r="F119" s="54" t="str">
        <f t="shared" si="44"/>
        <v>2%_NB Retail FB inc. Cater.</v>
      </c>
      <c r="G119" s="54" t="str">
        <f t="shared" si="44"/>
        <v/>
      </c>
      <c r="H119" s="54" t="str">
        <f t="shared" si="44"/>
        <v/>
      </c>
      <c r="I119" s="54" t="str">
        <f t="shared" si="44"/>
        <v/>
      </c>
      <c r="J119" s="51"/>
      <c r="K119" s="51"/>
      <c r="L119" s="51"/>
      <c r="M119" s="51"/>
    </row>
    <row r="120" spans="1:13" ht="57" customHeight="1" x14ac:dyDescent="0.25">
      <c r="A120" s="87"/>
      <c r="B120" s="87"/>
      <c r="C120" s="53" t="s">
        <v>326</v>
      </c>
      <c r="D120" s="52">
        <f t="shared" ref="D120:I120" si="45">IF(D112&gt;0,D112*D113,0)</f>
        <v>63.699999999999996</v>
      </c>
      <c r="E120" s="52">
        <f t="shared" si="45"/>
        <v>21.560000000000002</v>
      </c>
      <c r="F120" s="52">
        <f t="shared" si="45"/>
        <v>6.96</v>
      </c>
      <c r="G120" s="52">
        <f t="shared" si="45"/>
        <v>0</v>
      </c>
      <c r="H120" s="52">
        <f t="shared" si="45"/>
        <v>0</v>
      </c>
      <c r="I120" s="52">
        <f t="shared" si="45"/>
        <v>0</v>
      </c>
      <c r="J120" s="51"/>
      <c r="K120" s="51"/>
      <c r="L120" s="51"/>
      <c r="M120" s="51"/>
    </row>
    <row r="121" spans="1:13" ht="47.25" customHeight="1" x14ac:dyDescent="0.25"/>
    <row r="122" spans="1:13" ht="30" x14ac:dyDescent="0.25">
      <c r="A122" s="86" t="s">
        <v>351</v>
      </c>
      <c r="B122" s="86"/>
      <c r="C122" s="56"/>
      <c r="D122" s="56" t="s">
        <v>350</v>
      </c>
      <c r="E122" s="56" t="s">
        <v>349</v>
      </c>
      <c r="F122" s="56" t="s">
        <v>348</v>
      </c>
      <c r="G122" s="56" t="s">
        <v>347</v>
      </c>
      <c r="H122" s="56" t="s">
        <v>346</v>
      </c>
      <c r="I122" s="56" t="s">
        <v>345</v>
      </c>
      <c r="J122" s="63"/>
      <c r="K122" s="56"/>
      <c r="L122" s="56" t="s">
        <v>344</v>
      </c>
      <c r="M122" s="56" t="s">
        <v>343</v>
      </c>
    </row>
    <row r="123" spans="1:13" ht="60" x14ac:dyDescent="0.25">
      <c r="A123" s="86"/>
      <c r="B123" s="86"/>
      <c r="C123" s="56" t="s">
        <v>342</v>
      </c>
      <c r="D123" s="62">
        <v>2030</v>
      </c>
      <c r="E123" s="57">
        <f>D123</f>
        <v>2030</v>
      </c>
      <c r="F123" s="57">
        <f>E123</f>
        <v>2030</v>
      </c>
      <c r="G123" s="57">
        <f>F123</f>
        <v>2030</v>
      </c>
      <c r="H123" s="57">
        <f>G123</f>
        <v>2030</v>
      </c>
      <c r="I123" s="57">
        <f>H123</f>
        <v>2030</v>
      </c>
      <c r="K123" s="56" t="s">
        <v>342</v>
      </c>
      <c r="L123" s="57">
        <f>I123</f>
        <v>2030</v>
      </c>
      <c r="M123" s="57"/>
    </row>
    <row r="124" spans="1:13" ht="60" x14ac:dyDescent="0.25">
      <c r="A124" s="86"/>
      <c r="B124" s="86"/>
      <c r="C124" s="56" t="s">
        <v>341</v>
      </c>
      <c r="D124" s="61" t="s">
        <v>340</v>
      </c>
      <c r="E124" s="61" t="s">
        <v>339</v>
      </c>
      <c r="F124" s="61" t="s">
        <v>338</v>
      </c>
      <c r="G124" s="61"/>
      <c r="H124" s="61"/>
      <c r="I124" s="61"/>
      <c r="J124" s="51"/>
      <c r="K124" s="56" t="s">
        <v>337</v>
      </c>
      <c r="L124" s="55" t="str">
        <f>_xlfn.CONCAT(D132:I132)</f>
        <v>20%_RFOG High. Ed. + 
70%_RFOG Stud. Resi. + 
10%_NB Retail FB inc. Cater.</v>
      </c>
      <c r="M124" s="55"/>
    </row>
    <row r="125" spans="1:13" ht="30" x14ac:dyDescent="0.25">
      <c r="A125" s="86"/>
      <c r="B125" s="86"/>
      <c r="C125" s="56" t="s">
        <v>336</v>
      </c>
      <c r="D125" s="60">
        <v>0.2</v>
      </c>
      <c r="E125" s="60">
        <v>0.7</v>
      </c>
      <c r="F125" s="60">
        <v>0.1</v>
      </c>
      <c r="G125" s="60"/>
      <c r="H125" s="60"/>
      <c r="I125" s="60"/>
      <c r="K125" s="56" t="s">
        <v>335</v>
      </c>
      <c r="L125" s="59">
        <f>SUM(D125:I125)</f>
        <v>0.99999999999999989</v>
      </c>
      <c r="M125" s="55" t="str">
        <f>IF(L125=1,"Total Area 100%. OK","Floor Area ≠ 100%. Error")</f>
        <v>Total Area 100%. OK</v>
      </c>
    </row>
    <row r="126" spans="1:13" x14ac:dyDescent="0.25">
      <c r="A126" s="86"/>
      <c r="B126" s="86"/>
      <c r="C126" s="56" t="s">
        <v>334</v>
      </c>
      <c r="D126" s="57">
        <f t="shared" ref="D126:I126" si="46">IF(D125&gt;0,INDEX($AB$57:$CV$73,MATCH(D123,$Z$57:$Z$73,0), MATCH(D124,$AB$54:$CW$54,0)),"")</f>
        <v>112</v>
      </c>
      <c r="E126" s="57">
        <f t="shared" si="46"/>
        <v>99</v>
      </c>
      <c r="F126" s="57">
        <f t="shared" si="46"/>
        <v>327</v>
      </c>
      <c r="G126" s="57" t="str">
        <f t="shared" si="46"/>
        <v/>
      </c>
      <c r="H126" s="57" t="str">
        <f t="shared" si="46"/>
        <v/>
      </c>
      <c r="I126" s="57" t="str">
        <f t="shared" si="46"/>
        <v/>
      </c>
      <c r="K126" s="56" t="s">
        <v>333</v>
      </c>
      <c r="L126" s="58">
        <f>SUM(D133:I133)</f>
        <v>124.4</v>
      </c>
      <c r="M126" s="57"/>
    </row>
    <row r="127" spans="1:13" x14ac:dyDescent="0.25">
      <c r="A127" s="86"/>
      <c r="B127" s="86"/>
      <c r="C127" s="56" t="s">
        <v>332</v>
      </c>
      <c r="D127" s="55" t="str">
        <f t="shared" ref="D127:I127" si="47">IF(D125&gt;0,HLOOKUP(D124,$AA$54:$CV$56,3,0),$D127)</f>
        <v>kWh/m²GIA/yr</v>
      </c>
      <c r="E127" s="55" t="str">
        <f t="shared" si="47"/>
        <v>kWh/m²GIA/yr</v>
      </c>
      <c r="F127" s="55" t="str">
        <f t="shared" si="47"/>
        <v>kWh/m²GIA/yr</v>
      </c>
      <c r="G127" s="55" t="str">
        <f t="shared" si="47"/>
        <v>kWh/m²GIA/yr</v>
      </c>
      <c r="H127" s="55" t="str">
        <f t="shared" si="47"/>
        <v>kWh/m²GIA/yr</v>
      </c>
      <c r="I127" s="55" t="str">
        <f t="shared" si="47"/>
        <v>kWh/m²GIA/yr</v>
      </c>
      <c r="J127" s="51"/>
      <c r="K127" s="56" t="s">
        <v>332</v>
      </c>
      <c r="L127" s="55" t="str">
        <f>IF(M127="All units match",D127,"Units mismatch")</f>
        <v>kWh/m²GIA/yr</v>
      </c>
      <c r="M127" s="55" t="str" cm="1">
        <f t="array" ref="M127">IF(AND(EXACT(D127,D127:I127)),"All units match","Units mismatch")</f>
        <v>All units match</v>
      </c>
    </row>
    <row r="129" spans="1:13" ht="30" x14ac:dyDescent="0.25">
      <c r="A129" s="87" t="s">
        <v>331</v>
      </c>
      <c r="B129" s="87"/>
      <c r="C129" s="53" t="s">
        <v>330</v>
      </c>
      <c r="D129" s="54" t="str">
        <f t="shared" ref="D129:I129" si="48">HLOOKUP(D124,$AA$54:$CV$56,2,0)</f>
        <v>RFOG High. Ed.</v>
      </c>
      <c r="E129" s="54" t="str">
        <f t="shared" si="48"/>
        <v>RFOG Stud. Resi.</v>
      </c>
      <c r="F129" s="54" t="str">
        <f t="shared" si="48"/>
        <v>NB Retail FB inc. Cater.</v>
      </c>
      <c r="G129" s="54" t="e">
        <f t="shared" si="48"/>
        <v>#N/A</v>
      </c>
      <c r="H129" s="54" t="e">
        <f t="shared" si="48"/>
        <v>#N/A</v>
      </c>
      <c r="I129" s="54" t="e">
        <f t="shared" si="48"/>
        <v>#N/A</v>
      </c>
      <c r="J129" s="51"/>
      <c r="K129" s="51"/>
      <c r="L129" s="51"/>
      <c r="M129" s="51"/>
    </row>
    <row r="130" spans="1:13" ht="30" x14ac:dyDescent="0.25">
      <c r="A130" s="87"/>
      <c r="B130" s="87"/>
      <c r="C130" s="53" t="s">
        <v>329</v>
      </c>
      <c r="D130" s="54" t="str">
        <f t="shared" ref="D130:I130" si="49">D125*100&amp;"%_"&amp;D129</f>
        <v>20%_RFOG High. Ed.</v>
      </c>
      <c r="E130" s="54" t="str">
        <f t="shared" si="49"/>
        <v>70%_RFOG Stud. Resi.</v>
      </c>
      <c r="F130" s="54" t="str">
        <f t="shared" si="49"/>
        <v>10%_NB Retail FB inc. Cater.</v>
      </c>
      <c r="G130" s="54" t="e">
        <f t="shared" si="49"/>
        <v>#N/A</v>
      </c>
      <c r="H130" s="54" t="e">
        <f t="shared" si="49"/>
        <v>#N/A</v>
      </c>
      <c r="I130" s="54" t="e">
        <f t="shared" si="49"/>
        <v>#N/A</v>
      </c>
      <c r="J130" s="51"/>
      <c r="K130" s="51"/>
      <c r="L130" s="51"/>
      <c r="M130" s="51"/>
    </row>
    <row r="131" spans="1:13" ht="30" x14ac:dyDescent="0.25">
      <c r="A131" s="87"/>
      <c r="B131" s="87"/>
      <c r="C131" s="53" t="s">
        <v>328</v>
      </c>
      <c r="D131" s="54" t="str">
        <f>IF(SUM(E125:$I125)&gt;0," + "&amp;CHAR(10),"")</f>
        <v xml:space="preserve"> + 
</v>
      </c>
      <c r="E131" s="54" t="str">
        <f>IF(SUM(F125:$I125)&gt;0," + "&amp;CHAR(10),"")</f>
        <v xml:space="preserve"> + 
</v>
      </c>
      <c r="F131" s="54" t="str">
        <f>IF(SUM(G125:$I125)&gt;0," + "&amp;CHAR(10),"")</f>
        <v/>
      </c>
      <c r="G131" s="54" t="str">
        <f>IF(SUM(H125:$I125)&gt;0," + "&amp;CHAR(10),"")</f>
        <v/>
      </c>
      <c r="H131" s="54" t="str">
        <f>IF(SUM(I125:$I125)&gt;0," + "&amp;CHAR(10),"")</f>
        <v/>
      </c>
      <c r="I131" s="54" t="str">
        <f>IF(SUM($I125:J125)&gt;0," + "&amp;CHAR(10),"")</f>
        <v/>
      </c>
      <c r="J131" s="51"/>
      <c r="K131" s="51"/>
      <c r="L131" s="51"/>
      <c r="M131" s="51"/>
    </row>
    <row r="132" spans="1:13" ht="45" x14ac:dyDescent="0.25">
      <c r="A132" s="87"/>
      <c r="B132" s="87"/>
      <c r="C132" s="53" t="s">
        <v>327</v>
      </c>
      <c r="D132" s="54" t="str">
        <f t="shared" ref="D132:I132" si="50">IF(D125&gt;0,D130&amp;D131,"")</f>
        <v xml:space="preserve">20%_RFOG High. Ed. + 
</v>
      </c>
      <c r="E132" s="54" t="str">
        <f t="shared" si="50"/>
        <v xml:space="preserve">70%_RFOG Stud. Resi. + 
</v>
      </c>
      <c r="F132" s="54" t="str">
        <f t="shared" si="50"/>
        <v>10%_NB Retail FB inc. Cater.</v>
      </c>
      <c r="G132" s="54" t="str">
        <f t="shared" si="50"/>
        <v/>
      </c>
      <c r="H132" s="54" t="str">
        <f t="shared" si="50"/>
        <v/>
      </c>
      <c r="I132" s="54" t="str">
        <f t="shared" si="50"/>
        <v/>
      </c>
      <c r="J132" s="51"/>
      <c r="K132" s="51"/>
      <c r="L132" s="51"/>
      <c r="M132" s="51"/>
    </row>
    <row r="133" spans="1:13" x14ac:dyDescent="0.25">
      <c r="A133" s="87"/>
      <c r="B133" s="87"/>
      <c r="C133" s="53" t="s">
        <v>326</v>
      </c>
      <c r="D133" s="52">
        <f t="shared" ref="D133:I133" si="51">IF(D125&gt;0,D125*D126,0)</f>
        <v>22.400000000000002</v>
      </c>
      <c r="E133" s="52">
        <f t="shared" si="51"/>
        <v>69.3</v>
      </c>
      <c r="F133" s="52">
        <f t="shared" si="51"/>
        <v>32.700000000000003</v>
      </c>
      <c r="G133" s="52">
        <f t="shared" si="51"/>
        <v>0</v>
      </c>
      <c r="H133" s="52">
        <f t="shared" si="51"/>
        <v>0</v>
      </c>
      <c r="I133" s="52">
        <f t="shared" si="51"/>
        <v>0</v>
      </c>
      <c r="J133" s="51"/>
      <c r="K133" s="51"/>
      <c r="L133" s="51"/>
      <c r="M133" s="51"/>
    </row>
  </sheetData>
  <mergeCells count="10">
    <mergeCell ref="A70:B75"/>
    <mergeCell ref="A83:B88"/>
    <mergeCell ref="A90:B94"/>
    <mergeCell ref="A96:B101"/>
    <mergeCell ref="A103:B107"/>
    <mergeCell ref="A109:B114"/>
    <mergeCell ref="A116:B120"/>
    <mergeCell ref="A122:B127"/>
    <mergeCell ref="A129:B133"/>
    <mergeCell ref="A77:B81"/>
  </mergeCells>
  <conditionalFormatting sqref="M73">
    <cfRule type="cellIs" dxfId="37" priority="24" operator="equal">
      <formula>"Floor Area ≠ 100%. Error"</formula>
    </cfRule>
    <cfRule type="cellIs" dxfId="36" priority="25" operator="equal">
      <formula>"Total Area 100%. OK"</formula>
    </cfRule>
  </conditionalFormatting>
  <conditionalFormatting sqref="M75">
    <cfRule type="cellIs" dxfId="35" priority="22" operator="equal">
      <formula>"Units mismatch"</formula>
    </cfRule>
    <cfRule type="cellIs" dxfId="34" priority="23" operator="equal">
      <formula>"All units match"</formula>
    </cfRule>
  </conditionalFormatting>
  <conditionalFormatting sqref="M86">
    <cfRule type="cellIs" dxfId="33" priority="20" operator="equal">
      <formula>"Floor Area ≠ 100%. Error"</formula>
    </cfRule>
    <cfRule type="cellIs" dxfId="32" priority="21" operator="equal">
      <formula>"Total Area 100%. OK"</formula>
    </cfRule>
  </conditionalFormatting>
  <conditionalFormatting sqref="M88">
    <cfRule type="cellIs" dxfId="31" priority="18" operator="equal">
      <formula>"Units mismatch"</formula>
    </cfRule>
    <cfRule type="cellIs" dxfId="30" priority="19" operator="equal">
      <formula>"All units match"</formula>
    </cfRule>
  </conditionalFormatting>
  <conditionalFormatting sqref="AB75:CV75">
    <cfRule type="cellIs" dxfId="29" priority="17" operator="greaterThan">
      <formula>0</formula>
    </cfRule>
  </conditionalFormatting>
  <conditionalFormatting sqref="AB76:CV76">
    <cfRule type="cellIs" dxfId="28" priority="16" operator="greaterThan">
      <formula>0</formula>
    </cfRule>
  </conditionalFormatting>
  <conditionalFormatting sqref="M99">
    <cfRule type="cellIs" dxfId="27" priority="14" operator="equal">
      <formula>"Floor Area ≠ 100%. Error"</formula>
    </cfRule>
    <cfRule type="cellIs" dxfId="26" priority="15" operator="equal">
      <formula>"Total Area 100%. OK"</formula>
    </cfRule>
  </conditionalFormatting>
  <conditionalFormatting sqref="M101">
    <cfRule type="cellIs" dxfId="25" priority="12" operator="equal">
      <formula>"Units mismatch"</formula>
    </cfRule>
    <cfRule type="cellIs" dxfId="24" priority="13" operator="equal">
      <formula>"All units match"</formula>
    </cfRule>
  </conditionalFormatting>
  <conditionalFormatting sqref="AB77:CV77">
    <cfRule type="cellIs" dxfId="23" priority="11" operator="greaterThan">
      <formula>0</formula>
    </cfRule>
  </conditionalFormatting>
  <conditionalFormatting sqref="M112">
    <cfRule type="cellIs" dxfId="22" priority="9" operator="equal">
      <formula>"Floor Area ≠ 100%. Error"</formula>
    </cfRule>
    <cfRule type="cellIs" dxfId="21" priority="10" operator="equal">
      <formula>"Total Area 100%. OK"</formula>
    </cfRule>
  </conditionalFormatting>
  <conditionalFormatting sqref="M114">
    <cfRule type="cellIs" dxfId="20" priority="7" operator="equal">
      <formula>"Units mismatch"</formula>
    </cfRule>
    <cfRule type="cellIs" dxfId="19" priority="8" operator="equal">
      <formula>"All units match"</formula>
    </cfRule>
  </conditionalFormatting>
  <conditionalFormatting sqref="AB78:CV78">
    <cfRule type="cellIs" dxfId="18" priority="6" operator="greaterThan">
      <formula>0</formula>
    </cfRule>
  </conditionalFormatting>
  <conditionalFormatting sqref="M125">
    <cfRule type="cellIs" dxfId="17" priority="4" operator="equal">
      <formula>"Floor Area ≠ 100%. Error"</formula>
    </cfRule>
    <cfRule type="cellIs" dxfId="16" priority="5" operator="equal">
      <formula>"Total Area 100%. OK"</formula>
    </cfRule>
  </conditionalFormatting>
  <conditionalFormatting sqref="M127">
    <cfRule type="cellIs" dxfId="15" priority="2" operator="equal">
      <formula>"Units mismatch"</formula>
    </cfRule>
    <cfRule type="cellIs" dxfId="14" priority="3" operator="equal">
      <formula>"All units match"</formula>
    </cfRule>
  </conditionalFormatting>
  <conditionalFormatting sqref="AB79:CV79">
    <cfRule type="cellIs" dxfId="13" priority="1" operator="greaterThan">
      <formula>0</formula>
    </cfRule>
  </conditionalFormatting>
  <dataValidations count="4">
    <dataValidation type="list" allowBlank="1" showInputMessage="1" showErrorMessage="1" sqref="D72:F72 C41:C48 D85:F85 D98:F98 D111:F111 D124:F124" xr:uid="{7CEBE34C-7DF3-437A-85E0-65C0865C6C50}">
      <formula1>$AA$54:$CV$54</formula1>
    </dataValidation>
    <dataValidation type="decimal" allowBlank="1" showInputMessage="1" showErrorMessage="1" sqref="D73:I73 D86:I86 D99:I99 D112:I112 D125:I125" xr:uid="{6B3BF24F-218D-4D85-B291-14166A3FB560}">
      <formula1>0</formula1>
      <formula2>1</formula2>
    </dataValidation>
    <dataValidation type="list" allowBlank="1" showInputMessage="1" showErrorMessage="1" sqref="G72:I72 G85:I85 G98:I98 G111:I111 G124:I124" xr:uid="{A7F9D46F-CB18-4620-B29D-9CDE88DE8622}">
      <formula1>$AA$54:$DB$54</formula1>
    </dataValidation>
    <dataValidation type="list" allowBlank="1" showInputMessage="1" showErrorMessage="1" sqref="D71 B41:B48 D84 D97 D110 D123" xr:uid="{1BF973E1-E9DE-4738-AC41-AA9E58463895}">
      <formula1>$Z$57:$Z$73</formula1>
    </dataValidation>
  </dataValidations>
  <hyperlinks>
    <hyperlink ref="H2" r:id="rId1" xr:uid="{A4145A7C-1EFF-4D9C-9166-40258D433FB3}"/>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FA55F-5FF8-4035-974E-3FEE807DC0DD}">
  <sheetPr codeName="Sheet2"/>
  <dimension ref="A3:B23"/>
  <sheetViews>
    <sheetView workbookViewId="0">
      <selection activeCell="B19" sqref="B19"/>
    </sheetView>
  </sheetViews>
  <sheetFormatPr defaultColWidth="9.140625" defaultRowHeight="15" x14ac:dyDescent="0.25"/>
  <cols>
    <col min="1" max="1" width="9.140625" style="14" customWidth="1"/>
    <col min="2" max="2" width="138.28515625" style="1" customWidth="1"/>
    <col min="3" max="16384" width="9.140625" style="14"/>
  </cols>
  <sheetData>
    <row r="3" spans="1:2" x14ac:dyDescent="0.25">
      <c r="A3" s="14">
        <v>0</v>
      </c>
      <c r="B3" s="1" t="s">
        <v>179</v>
      </c>
    </row>
    <row r="4" spans="1:2" ht="75" x14ac:dyDescent="0.25">
      <c r="A4" s="14">
        <v>1</v>
      </c>
      <c r="B4" s="1" t="s">
        <v>124</v>
      </c>
    </row>
    <row r="5" spans="1:2" x14ac:dyDescent="0.25">
      <c r="A5" s="14">
        <v>2</v>
      </c>
      <c r="B5" s="1" t="s">
        <v>254</v>
      </c>
    </row>
    <row r="6" spans="1:2" x14ac:dyDescent="0.25">
      <c r="A6" s="14">
        <v>3</v>
      </c>
      <c r="B6" s="1" t="s">
        <v>125</v>
      </c>
    </row>
    <row r="7" spans="1:2" x14ac:dyDescent="0.25">
      <c r="A7" s="14">
        <v>4</v>
      </c>
      <c r="B7" s="1" t="s">
        <v>245</v>
      </c>
    </row>
    <row r="8" spans="1:2" ht="45" x14ac:dyDescent="0.25">
      <c r="A8" s="14">
        <v>5</v>
      </c>
      <c r="B8" s="1" t="s">
        <v>255</v>
      </c>
    </row>
    <row r="9" spans="1:2" x14ac:dyDescent="0.25">
      <c r="A9" s="14">
        <v>6</v>
      </c>
      <c r="B9" s="1" t="s">
        <v>155</v>
      </c>
    </row>
    <row r="10" spans="1:2" x14ac:dyDescent="0.25">
      <c r="A10" s="14">
        <v>7</v>
      </c>
      <c r="B10" s="1" t="s">
        <v>156</v>
      </c>
    </row>
    <row r="11" spans="1:2" x14ac:dyDescent="0.25">
      <c r="A11" s="14">
        <v>8</v>
      </c>
      <c r="B11" s="1" t="s">
        <v>157</v>
      </c>
    </row>
    <row r="12" spans="1:2" x14ac:dyDescent="0.25">
      <c r="A12" s="14">
        <v>9</v>
      </c>
      <c r="B12" s="1" t="s">
        <v>218</v>
      </c>
    </row>
    <row r="13" spans="1:2" ht="45" x14ac:dyDescent="0.25">
      <c r="A13" s="14">
        <v>10</v>
      </c>
      <c r="B13" s="1" t="s">
        <v>231</v>
      </c>
    </row>
    <row r="14" spans="1:2" x14ac:dyDescent="0.25">
      <c r="A14" s="14">
        <v>11</v>
      </c>
      <c r="B14" s="1" t="s">
        <v>246</v>
      </c>
    </row>
    <row r="15" spans="1:2" x14ac:dyDescent="0.25">
      <c r="A15" s="14">
        <v>12</v>
      </c>
      <c r="B15" s="1" t="s">
        <v>256</v>
      </c>
    </row>
    <row r="16" spans="1:2" x14ac:dyDescent="0.25">
      <c r="A16" s="14">
        <v>13</v>
      </c>
      <c r="B16" s="1" t="s">
        <v>275</v>
      </c>
    </row>
    <row r="17" spans="1:2" ht="30" x14ac:dyDescent="0.25">
      <c r="A17" s="14">
        <v>14</v>
      </c>
      <c r="B17" s="1" t="s">
        <v>298</v>
      </c>
    </row>
    <row r="18" spans="1:2" x14ac:dyDescent="0.25">
      <c r="A18" s="14">
        <v>15</v>
      </c>
      <c r="B18" s="1" t="s">
        <v>316</v>
      </c>
    </row>
    <row r="19" spans="1:2" x14ac:dyDescent="0.25">
      <c r="A19" s="14">
        <v>16</v>
      </c>
      <c r="B19" s="1" t="s">
        <v>323</v>
      </c>
    </row>
    <row r="23" spans="1:2" x14ac:dyDescent="0.25">
      <c r="B23" s="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5CEEB-24C0-4AED-AD58-0CB2C6D3C7EC}">
  <sheetPr codeName="Sheet3"/>
  <dimension ref="A1:K27"/>
  <sheetViews>
    <sheetView workbookViewId="0">
      <selection activeCell="G4" sqref="G4"/>
    </sheetView>
  </sheetViews>
  <sheetFormatPr defaultColWidth="12" defaultRowHeight="15" x14ac:dyDescent="0.25"/>
  <cols>
    <col min="1" max="1" width="15.85546875" style="1" customWidth="1"/>
    <col min="2" max="2" width="33.85546875" style="1" customWidth="1"/>
    <col min="3" max="3" width="12" style="1"/>
    <col min="4" max="4" width="9.85546875" style="1" customWidth="1"/>
    <col min="5" max="5" width="14.85546875" style="1" customWidth="1"/>
    <col min="6" max="6" width="15.140625" style="1" customWidth="1"/>
    <col min="7" max="7" width="28.5703125" style="1" customWidth="1"/>
    <col min="8" max="8" width="35.28515625" style="1" customWidth="1"/>
    <col min="9" max="9" width="15.5703125" style="1" customWidth="1"/>
    <col min="10" max="11" width="50.42578125" style="1" customWidth="1"/>
    <col min="12" max="12" width="40.5703125" style="1" customWidth="1"/>
    <col min="13" max="16384" width="12" style="1"/>
  </cols>
  <sheetData>
    <row r="1" spans="1:11" ht="31.5" x14ac:dyDescent="0.25">
      <c r="A1" s="13" t="s">
        <v>78</v>
      </c>
    </row>
    <row r="2" spans="1:11" x14ac:dyDescent="0.25">
      <c r="A2" s="14" t="s">
        <v>74</v>
      </c>
    </row>
    <row r="3" spans="1:11" x14ac:dyDescent="0.25">
      <c r="A3" s="14" t="s">
        <v>59</v>
      </c>
    </row>
    <row r="4" spans="1:11" x14ac:dyDescent="0.25">
      <c r="A4" s="14"/>
    </row>
    <row r="5" spans="1:11" x14ac:dyDescent="0.25">
      <c r="A5" s="7" t="s">
        <v>77</v>
      </c>
      <c r="B5" s="7" t="s">
        <v>75</v>
      </c>
      <c r="C5" s="7" t="s">
        <v>76</v>
      </c>
    </row>
    <row r="6" spans="1:11" ht="22.5" customHeight="1" x14ac:dyDescent="0.25"/>
    <row r="7" spans="1:11" ht="18.75" x14ac:dyDescent="0.25">
      <c r="A7" s="2"/>
      <c r="B7" s="2"/>
      <c r="C7" s="2"/>
      <c r="D7" s="2"/>
      <c r="E7" s="88" t="s">
        <v>15</v>
      </c>
      <c r="F7" s="89"/>
      <c r="G7" s="90"/>
      <c r="H7" s="2"/>
      <c r="I7" s="2"/>
      <c r="J7" s="2"/>
      <c r="K7" s="2"/>
    </row>
    <row r="8" spans="1:11" ht="37.5" x14ac:dyDescent="0.25">
      <c r="A8" s="3" t="s">
        <v>16</v>
      </c>
      <c r="B8" s="3" t="s">
        <v>17</v>
      </c>
      <c r="C8" s="3" t="s">
        <v>18</v>
      </c>
      <c r="D8" s="3" t="s">
        <v>19</v>
      </c>
      <c r="E8" s="4" t="s">
        <v>20</v>
      </c>
      <c r="F8" s="5" t="s">
        <v>21</v>
      </c>
      <c r="G8" s="6" t="s">
        <v>22</v>
      </c>
      <c r="H8" s="3" t="s">
        <v>23</v>
      </c>
      <c r="I8" s="3" t="s">
        <v>24</v>
      </c>
      <c r="J8" s="3" t="s">
        <v>61</v>
      </c>
      <c r="K8" s="3" t="s">
        <v>67</v>
      </c>
    </row>
    <row r="9" spans="1:11" ht="135" x14ac:dyDescent="0.25">
      <c r="A9" s="15"/>
      <c r="B9" s="8" t="s">
        <v>69</v>
      </c>
      <c r="C9" s="3"/>
      <c r="D9" s="15"/>
      <c r="E9" s="16"/>
      <c r="F9" s="17"/>
      <c r="G9" s="18"/>
      <c r="H9" s="3"/>
      <c r="I9" s="3"/>
      <c r="J9" s="3"/>
      <c r="K9" s="12" t="s">
        <v>70</v>
      </c>
    </row>
    <row r="10" spans="1:11" ht="60" x14ac:dyDescent="0.25">
      <c r="A10" s="7">
        <v>1</v>
      </c>
      <c r="B10" s="8" t="s">
        <v>25</v>
      </c>
      <c r="C10" s="1" t="s">
        <v>26</v>
      </c>
      <c r="D10" s="7">
        <v>1</v>
      </c>
      <c r="E10" s="9" t="s">
        <v>27</v>
      </c>
      <c r="F10" s="10" t="s">
        <v>28</v>
      </c>
      <c r="G10" s="11" t="s">
        <v>29</v>
      </c>
      <c r="I10" s="1" t="s">
        <v>30</v>
      </c>
      <c r="J10" s="12" t="s">
        <v>68</v>
      </c>
      <c r="K10" s="12"/>
    </row>
    <row r="11" spans="1:11" ht="30" x14ac:dyDescent="0.25">
      <c r="A11" s="7" t="s">
        <v>31</v>
      </c>
      <c r="B11" s="8" t="s">
        <v>32</v>
      </c>
      <c r="C11" s="1" t="s">
        <v>26</v>
      </c>
      <c r="D11" s="7">
        <v>1</v>
      </c>
      <c r="E11" s="9" t="s">
        <v>27</v>
      </c>
      <c r="F11" s="10" t="s">
        <v>28</v>
      </c>
      <c r="G11" s="11" t="s">
        <v>29</v>
      </c>
      <c r="J11" s="12" t="s">
        <v>62</v>
      </c>
      <c r="K11" s="12"/>
    </row>
    <row r="12" spans="1:11" ht="90" x14ac:dyDescent="0.25">
      <c r="A12" s="7">
        <v>3</v>
      </c>
      <c r="B12" s="8" t="s">
        <v>33</v>
      </c>
      <c r="C12" s="1" t="s">
        <v>26</v>
      </c>
      <c r="D12" s="7">
        <v>1</v>
      </c>
      <c r="E12" s="9" t="s">
        <v>27</v>
      </c>
      <c r="F12" s="10" t="s">
        <v>34</v>
      </c>
      <c r="G12" s="11" t="s">
        <v>35</v>
      </c>
      <c r="H12" s="1" t="s">
        <v>36</v>
      </c>
      <c r="J12" s="12" t="s">
        <v>71</v>
      </c>
      <c r="K12" s="12"/>
    </row>
    <row r="13" spans="1:11" ht="75" x14ac:dyDescent="0.25">
      <c r="A13" s="7">
        <v>4</v>
      </c>
      <c r="B13" s="8" t="s">
        <v>37</v>
      </c>
      <c r="C13" s="1" t="s">
        <v>26</v>
      </c>
      <c r="D13" s="7">
        <v>1</v>
      </c>
      <c r="E13" s="9" t="s">
        <v>27</v>
      </c>
      <c r="F13" s="10" t="s">
        <v>28</v>
      </c>
      <c r="G13" s="11" t="s">
        <v>38</v>
      </c>
      <c r="H13" s="1" t="s">
        <v>39</v>
      </c>
      <c r="J13" s="12"/>
      <c r="K13" s="12"/>
    </row>
    <row r="14" spans="1:11" ht="120" x14ac:dyDescent="0.25">
      <c r="A14" s="7" t="s">
        <v>40</v>
      </c>
      <c r="B14" s="8" t="s">
        <v>41</v>
      </c>
      <c r="C14" s="1" t="s">
        <v>26</v>
      </c>
      <c r="D14" s="7">
        <v>1</v>
      </c>
      <c r="E14" s="9" t="s">
        <v>42</v>
      </c>
      <c r="F14" s="10" t="s">
        <v>43</v>
      </c>
      <c r="G14" s="11" t="s">
        <v>44</v>
      </c>
      <c r="H14" s="1" t="s">
        <v>45</v>
      </c>
      <c r="J14" s="12" t="s">
        <v>63</v>
      </c>
      <c r="K14" s="12" t="s">
        <v>72</v>
      </c>
    </row>
    <row r="15" spans="1:11" ht="195" x14ac:dyDescent="0.25">
      <c r="A15" s="7" t="s">
        <v>46</v>
      </c>
      <c r="B15" s="8" t="s">
        <v>47</v>
      </c>
      <c r="C15" s="1" t="s">
        <v>26</v>
      </c>
      <c r="D15" s="7">
        <v>2</v>
      </c>
      <c r="E15" s="9" t="s">
        <v>48</v>
      </c>
      <c r="F15" s="10" t="s">
        <v>49</v>
      </c>
      <c r="G15" s="11" t="s">
        <v>50</v>
      </c>
      <c r="H15" s="1" t="s">
        <v>51</v>
      </c>
      <c r="J15" s="12" t="s">
        <v>64</v>
      </c>
      <c r="K15" s="12" t="s">
        <v>72</v>
      </c>
    </row>
    <row r="16" spans="1:11" ht="45" x14ac:dyDescent="0.25">
      <c r="A16" s="7">
        <v>7</v>
      </c>
      <c r="B16" s="8" t="s">
        <v>52</v>
      </c>
      <c r="C16" s="1" t="s">
        <v>53</v>
      </c>
      <c r="D16" s="7">
        <v>2</v>
      </c>
      <c r="E16" s="9" t="s">
        <v>27</v>
      </c>
      <c r="F16" s="10" t="s">
        <v>28</v>
      </c>
      <c r="G16" s="11" t="s">
        <v>29</v>
      </c>
      <c r="H16" s="1" t="s">
        <v>54</v>
      </c>
      <c r="J16" s="12" t="s">
        <v>66</v>
      </c>
      <c r="K16" s="12"/>
    </row>
    <row r="17" spans="1:11" ht="152.25" customHeight="1" x14ac:dyDescent="0.25">
      <c r="A17" s="7">
        <v>5</v>
      </c>
      <c r="B17" s="8" t="s">
        <v>55</v>
      </c>
      <c r="C17" s="1" t="s">
        <v>53</v>
      </c>
      <c r="D17" s="7">
        <v>3</v>
      </c>
      <c r="E17" s="9" t="s">
        <v>27</v>
      </c>
      <c r="F17" s="10" t="s">
        <v>42</v>
      </c>
      <c r="G17" s="11" t="s">
        <v>38</v>
      </c>
      <c r="H17" s="1" t="s">
        <v>56</v>
      </c>
      <c r="J17" s="12" t="s">
        <v>73</v>
      </c>
      <c r="K17" s="12" t="s">
        <v>72</v>
      </c>
    </row>
    <row r="18" spans="1:11" ht="45" x14ac:dyDescent="0.25">
      <c r="A18" s="7">
        <v>6</v>
      </c>
      <c r="B18" s="8" t="s">
        <v>57</v>
      </c>
      <c r="C18" s="1" t="s">
        <v>53</v>
      </c>
      <c r="D18" s="7">
        <v>3</v>
      </c>
      <c r="E18" s="9" t="s">
        <v>27</v>
      </c>
      <c r="F18" s="10" t="s">
        <v>58</v>
      </c>
      <c r="G18" s="11" t="s">
        <v>35</v>
      </c>
      <c r="J18" s="12" t="s">
        <v>65</v>
      </c>
      <c r="K18" s="12"/>
    </row>
    <row r="19" spans="1:11" x14ac:dyDescent="0.25">
      <c r="B19" s="8"/>
    </row>
    <row r="20" spans="1:11" x14ac:dyDescent="0.25">
      <c r="B20" s="8"/>
    </row>
    <row r="21" spans="1:11" x14ac:dyDescent="0.25">
      <c r="B21" s="8"/>
    </row>
    <row r="22" spans="1:11" x14ac:dyDescent="0.25">
      <c r="B22" s="8"/>
    </row>
    <row r="23" spans="1:11" x14ac:dyDescent="0.25">
      <c r="B23" s="8"/>
    </row>
    <row r="24" spans="1:11" x14ac:dyDescent="0.25">
      <c r="B24" s="8"/>
    </row>
    <row r="25" spans="1:11" x14ac:dyDescent="0.25">
      <c r="B25" s="8"/>
    </row>
    <row r="26" spans="1:11" x14ac:dyDescent="0.25">
      <c r="B26" s="8"/>
    </row>
    <row r="27" spans="1:11" x14ac:dyDescent="0.25">
      <c r="B27" s="8"/>
    </row>
  </sheetData>
  <mergeCells count="1">
    <mergeCell ref="E7:G7"/>
  </mergeCells>
  <conditionalFormatting sqref="D9:D18">
    <cfRule type="colorScale" priority="1">
      <colorScale>
        <cfvo type="min"/>
        <cfvo type="max"/>
        <color rgb="FF63BE7B"/>
        <color rgb="FFFFEF9C"/>
      </colorScale>
    </cfRule>
  </conditionalFormatting>
  <pageMargins left="0.7" right="0.7" top="0.75" bottom="0.75" header="0.3" footer="0.3"/>
  <pageSetup paperSize="9" orientation="portrait" horizontalDpi="300"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92F0C-A1DA-42FB-BFAB-33501862F55F}">
  <sheetPr codeName="Sheet4"/>
  <dimension ref="B3:G98"/>
  <sheetViews>
    <sheetView topLeftCell="A88" workbookViewId="0">
      <selection activeCell="D91" sqref="D91"/>
    </sheetView>
  </sheetViews>
  <sheetFormatPr defaultRowHeight="15" x14ac:dyDescent="0.25"/>
  <cols>
    <col min="1" max="1" width="9.140625" style="14"/>
    <col min="2" max="2" width="36" style="14" customWidth="1"/>
    <col min="3" max="3" width="105" style="14" customWidth="1"/>
    <col min="4" max="4" width="22.85546875" style="14" customWidth="1"/>
    <col min="5" max="5" width="22.7109375" style="14" customWidth="1"/>
    <col min="6" max="6" width="25.7109375" style="14" customWidth="1"/>
    <col min="7" max="7" width="22.42578125" style="14" customWidth="1"/>
    <col min="8" max="16384" width="9.140625" style="14"/>
  </cols>
  <sheetData>
    <row r="3" spans="2:3" x14ac:dyDescent="0.25">
      <c r="B3" s="14" t="s">
        <v>132</v>
      </c>
    </row>
    <row r="4" spans="2:3" x14ac:dyDescent="0.25">
      <c r="B4" s="14" t="s">
        <v>129</v>
      </c>
    </row>
    <row r="5" spans="2:3" x14ac:dyDescent="0.25">
      <c r="B5" s="14" t="s">
        <v>130</v>
      </c>
    </row>
    <row r="6" spans="2:3" x14ac:dyDescent="0.25">
      <c r="B6" s="14" t="s">
        <v>131</v>
      </c>
    </row>
    <row r="7" spans="2:3" x14ac:dyDescent="0.25">
      <c r="B7" s="14" t="s">
        <v>135</v>
      </c>
    </row>
    <row r="8" spans="2:3" x14ac:dyDescent="0.25">
      <c r="B8" s="14" t="s">
        <v>138</v>
      </c>
    </row>
    <row r="9" spans="2:3" x14ac:dyDescent="0.25">
      <c r="B9" s="14" t="s">
        <v>139</v>
      </c>
    </row>
    <row r="10" spans="2:3" x14ac:dyDescent="0.25">
      <c r="B10" s="14" t="s">
        <v>133</v>
      </c>
    </row>
    <row r="11" spans="2:3" x14ac:dyDescent="0.25">
      <c r="B11" s="14" t="s">
        <v>134</v>
      </c>
    </row>
    <row r="12" spans="2:3" x14ac:dyDescent="0.25">
      <c r="B12" s="14" t="s">
        <v>136</v>
      </c>
    </row>
    <row r="15" spans="2:3" ht="105" x14ac:dyDescent="0.25">
      <c r="C15" s="31" t="s">
        <v>137</v>
      </c>
    </row>
    <row r="52" spans="2:3" x14ac:dyDescent="0.25">
      <c r="B52" s="41" t="s">
        <v>158</v>
      </c>
    </row>
    <row r="53" spans="2:3" x14ac:dyDescent="0.25">
      <c r="B53" s="14" t="s">
        <v>166</v>
      </c>
    </row>
    <row r="54" spans="2:3" x14ac:dyDescent="0.25">
      <c r="B54" s="14" t="s">
        <v>161</v>
      </c>
    </row>
    <row r="55" spans="2:3" x14ac:dyDescent="0.25">
      <c r="B55" s="14" t="s">
        <v>159</v>
      </c>
      <c r="C55" s="42" t="s">
        <v>160</v>
      </c>
    </row>
    <row r="56" spans="2:3" x14ac:dyDescent="0.25">
      <c r="B56" s="14" t="s">
        <v>162</v>
      </c>
    </row>
    <row r="57" spans="2:3" x14ac:dyDescent="0.25">
      <c r="B57" s="14" t="s">
        <v>163</v>
      </c>
    </row>
    <row r="58" spans="2:3" x14ac:dyDescent="0.25">
      <c r="B58" s="14" t="s">
        <v>164</v>
      </c>
      <c r="C58" s="42" t="s">
        <v>165</v>
      </c>
    </row>
    <row r="59" spans="2:3" x14ac:dyDescent="0.25">
      <c r="B59" s="14" t="s">
        <v>167</v>
      </c>
      <c r="C59" s="42" t="s">
        <v>168</v>
      </c>
    </row>
    <row r="63" spans="2:3" x14ac:dyDescent="0.25">
      <c r="B63" s="41" t="s">
        <v>181</v>
      </c>
    </row>
    <row r="64" spans="2:3" x14ac:dyDescent="0.25">
      <c r="B64" s="43">
        <v>1600</v>
      </c>
      <c r="C64" s="14" t="s">
        <v>183</v>
      </c>
    </row>
    <row r="65" spans="2:4" x14ac:dyDescent="0.25">
      <c r="B65" s="43">
        <v>100</v>
      </c>
      <c r="C65" s="14" t="s">
        <v>184</v>
      </c>
    </row>
    <row r="66" spans="2:4" x14ac:dyDescent="0.25">
      <c r="B66" s="43">
        <v>80</v>
      </c>
      <c r="C66" s="14" t="s">
        <v>185</v>
      </c>
    </row>
    <row r="67" spans="2:4" x14ac:dyDescent="0.25">
      <c r="B67" s="44">
        <f>B65/B66</f>
        <v>1.25</v>
      </c>
      <c r="C67" s="14" t="s">
        <v>186</v>
      </c>
    </row>
    <row r="68" spans="2:4" x14ac:dyDescent="0.25">
      <c r="B68" s="44">
        <f>B64/B66</f>
        <v>20</v>
      </c>
      <c r="C68" s="14" t="s">
        <v>182</v>
      </c>
    </row>
    <row r="69" spans="2:4" x14ac:dyDescent="0.25">
      <c r="B69" s="44">
        <f>B64/B65</f>
        <v>16</v>
      </c>
      <c r="C69" s="14" t="s">
        <v>187</v>
      </c>
    </row>
    <row r="78" spans="2:4" x14ac:dyDescent="0.25">
      <c r="B78" s="41" t="s">
        <v>204</v>
      </c>
    </row>
    <row r="79" spans="2:4" x14ac:dyDescent="0.25">
      <c r="D79" s="41" t="s">
        <v>243</v>
      </c>
    </row>
    <row r="81" spans="2:7" x14ac:dyDescent="0.25">
      <c r="B81" s="14" t="s">
        <v>192</v>
      </c>
      <c r="C81" s="14" t="s">
        <v>241</v>
      </c>
      <c r="D81" s="43" t="s">
        <v>242</v>
      </c>
      <c r="E81" s="43" t="s">
        <v>242</v>
      </c>
      <c r="F81" s="43" t="s">
        <v>242</v>
      </c>
      <c r="G81" s="43" t="s">
        <v>244</v>
      </c>
    </row>
    <row r="82" spans="2:7" x14ac:dyDescent="0.25">
      <c r="B82" s="14" t="s">
        <v>193</v>
      </c>
      <c r="C82" s="14" t="s">
        <v>200</v>
      </c>
      <c r="D82" s="43" t="s">
        <v>232</v>
      </c>
      <c r="E82" s="43" t="s">
        <v>232</v>
      </c>
      <c r="F82" s="43" t="s">
        <v>236</v>
      </c>
      <c r="G82" s="43" t="s">
        <v>250</v>
      </c>
    </row>
    <row r="83" spans="2:7" x14ac:dyDescent="0.25">
      <c r="B83" s="14" t="s">
        <v>194</v>
      </c>
      <c r="C83" s="14" t="s">
        <v>18</v>
      </c>
      <c r="D83" s="43" t="s">
        <v>93</v>
      </c>
      <c r="E83" s="43" t="s">
        <v>93</v>
      </c>
      <c r="F83" s="43" t="s">
        <v>93</v>
      </c>
      <c r="G83" s="43" t="s">
        <v>93</v>
      </c>
    </row>
    <row r="84" spans="2:7" x14ac:dyDescent="0.25">
      <c r="B84" s="14" t="s">
        <v>195</v>
      </c>
      <c r="C84" s="14" t="s">
        <v>201</v>
      </c>
      <c r="D84" s="43" t="s">
        <v>221</v>
      </c>
      <c r="E84" s="43" t="s">
        <v>221</v>
      </c>
      <c r="F84" s="43" t="s">
        <v>221</v>
      </c>
      <c r="G84" s="43" t="s">
        <v>107</v>
      </c>
    </row>
    <row r="85" spans="2:7" x14ac:dyDescent="0.25">
      <c r="B85" s="14" t="s">
        <v>196</v>
      </c>
      <c r="C85" s="14" t="s">
        <v>202</v>
      </c>
      <c r="D85" s="43" t="s">
        <v>237</v>
      </c>
      <c r="E85" s="43" t="s">
        <v>237</v>
      </c>
      <c r="F85" s="43" t="s">
        <v>237</v>
      </c>
      <c r="G85" s="43" t="s">
        <v>60</v>
      </c>
    </row>
    <row r="86" spans="2:7" x14ac:dyDescent="0.25">
      <c r="B86" s="14" t="s">
        <v>197</v>
      </c>
      <c r="C86" s="14" t="s">
        <v>209</v>
      </c>
      <c r="D86" s="43"/>
      <c r="E86" s="43"/>
      <c r="F86" s="43"/>
      <c r="G86" s="43"/>
    </row>
    <row r="87" spans="2:7" x14ac:dyDescent="0.25">
      <c r="B87" s="14" t="s">
        <v>198</v>
      </c>
      <c r="C87" s="14" t="s">
        <v>210</v>
      </c>
      <c r="D87" s="43"/>
      <c r="E87" s="43"/>
      <c r="F87" s="43"/>
      <c r="G87" s="43"/>
    </row>
    <row r="88" spans="2:7" x14ac:dyDescent="0.25">
      <c r="B88" s="14" t="s">
        <v>199</v>
      </c>
      <c r="C88" s="14" t="s">
        <v>203</v>
      </c>
      <c r="D88" s="43" t="s">
        <v>233</v>
      </c>
      <c r="E88" s="43" t="s">
        <v>234</v>
      </c>
      <c r="F88" s="43" t="s">
        <v>233</v>
      </c>
      <c r="G88" s="43" t="s">
        <v>249</v>
      </c>
    </row>
    <row r="89" spans="2:7" x14ac:dyDescent="0.25">
      <c r="B89" s="14" t="s">
        <v>206</v>
      </c>
      <c r="C89" s="14" t="s">
        <v>205</v>
      </c>
      <c r="D89" s="43">
        <v>75</v>
      </c>
      <c r="E89" s="43" t="s">
        <v>235</v>
      </c>
      <c r="F89" s="43">
        <v>70</v>
      </c>
      <c r="G89" s="43">
        <v>400</v>
      </c>
    </row>
    <row r="91" spans="2:7" ht="120" x14ac:dyDescent="0.25">
      <c r="C91" s="41" t="s">
        <v>248</v>
      </c>
      <c r="D91" s="7" t="str">
        <f>D81&amp;"_"&amp;D82&amp;"_"&amp;D83&amp;"_"&amp;D84&amp;"_"&amp;D85&amp;"_"&amp;D86&amp;"_"&amp;D87&amp;"_"&amp;D88</f>
        <v>J6150 Cranmer Road_Villa Building_Sustainability Metrics_Detailed Design Stage_Operational Energy___Predicted EUI</v>
      </c>
      <c r="E91" s="7" t="str">
        <f>E81&amp;"_"&amp;E82&amp;"_"&amp;E83&amp;"_"&amp;E84&amp;"_"&amp;E85&amp;"_"&amp;E86&amp;"_"&amp;E87&amp;"_"&amp;E88</f>
        <v>J6150 Cranmer Road_Villa Building_Sustainability Metrics_Detailed Design Stage_Operational Energy___Predicted EUI Unit</v>
      </c>
      <c r="F91" s="7" t="str">
        <f>F81&amp;"_"&amp;F82&amp;"_"&amp;F83&amp;"_"&amp;F84&amp;"_"&amp;F85&amp;"_"&amp;F86&amp;"_"&amp;F87&amp;"_"&amp;F88</f>
        <v>J6150 Cranmer Road_Stephen Taylor Building_Sustainability Metrics_Detailed Design Stage_Operational Energy___Predicted EUI</v>
      </c>
      <c r="G91" s="7" t="str">
        <f>G81&amp;"_"&amp;G82&amp;"_"&amp;G83&amp;"_"&amp;G84&amp;"_"&amp;G85&amp;"_"&amp;G86&amp;"_"&amp;G87&amp;"_"&amp;G88</f>
        <v>J7105 Pembroke College_Macmillan Building_Sustainability Metrics_Early Design Stage_Embodied Carbon___Upfront EC Target</v>
      </c>
    </row>
    <row r="92" spans="2:7" x14ac:dyDescent="0.25">
      <c r="D92" s="14">
        <f>D89</f>
        <v>75</v>
      </c>
      <c r="E92" s="14" t="str">
        <f>E89</f>
        <v>kWh/m² GIA/yr</v>
      </c>
      <c r="F92" s="14">
        <f>F89</f>
        <v>70</v>
      </c>
      <c r="G92" s="14">
        <f>G89</f>
        <v>400</v>
      </c>
    </row>
    <row r="94" spans="2:7" x14ac:dyDescent="0.25">
      <c r="D94" s="7"/>
      <c r="E94" s="7"/>
      <c r="F94" s="7"/>
      <c r="G94" s="7"/>
    </row>
    <row r="98" spans="2:2" x14ac:dyDescent="0.25">
      <c r="B98" s="41"/>
    </row>
  </sheetData>
  <phoneticPr fontId="17" type="noConversion"/>
  <hyperlinks>
    <hyperlink ref="C55" r:id="rId1" xr:uid="{82403F01-1339-4332-951F-FA8D9722EAB3}"/>
    <hyperlink ref="C58" r:id="rId2" xr:uid="{8A33EBAC-95D3-448B-A7E4-CB27E32C99ED}"/>
    <hyperlink ref="C59" r:id="rId3" xr:uid="{CC07D205-A9AD-4622-9877-9D56AA968F22}"/>
  </hyperlinks>
  <pageMargins left="0.7" right="0.7" top="0.75" bottom="0.75" header="0.3" footer="0.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Change log</vt:lpstr>
      <vt:lpstr>Webapp Fields and Notes</vt:lpstr>
      <vt:lpstr>MF UK NZC BS OE Tool</vt:lpstr>
      <vt:lpstr>Notes + Questions</vt:lpstr>
      <vt:lpstr>Metrics + Notes</vt:lpstr>
      <vt:lpstr>More Notes</vt:lpstr>
    </vt:vector>
  </TitlesOfParts>
  <Company>Max Fordham LLP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Lauma Balina</dc:creator>
  <cp:lastModifiedBy>John Gunstone</cp:lastModifiedBy>
  <dcterms:created xsi:type="dcterms:W3CDTF">2024-03-22T11:10:04Z</dcterms:created>
  <dcterms:modified xsi:type="dcterms:W3CDTF">2024-10-24T17:33:57Z</dcterms:modified>
</cp:coreProperties>
</file>